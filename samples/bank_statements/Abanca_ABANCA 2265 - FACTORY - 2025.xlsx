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mpascual_iseazy_com/Documents/Sábanas - Grupo Iseazy/AUDITORIA VOL 2025 - EY/New folder/13 - Extractos bancarios/Abanca/"/>
    </mc:Choice>
  </mc:AlternateContent>
  <xr:revisionPtr revIDLastSave="128" documentId="8_{FBC3F0E3-8049-454D-A4FB-F19334DB65EC}" xr6:coauthVersionLast="47" xr6:coauthVersionMax="47" xr10:uidLastSave="{F2511B1D-AC1E-4BDC-9614-E4F7EAA0E049}"/>
  <bookViews>
    <workbookView xWindow="-28920" yWindow="-120" windowWidth="29040" windowHeight="15720" activeTab="9" xr2:uid="{258829D4-3BBE-421C-BE87-7222AC3CEFD2}"/>
  </bookViews>
  <sheets>
    <sheet name="Enero - marzo" sheetId="2" r:id="rId1"/>
    <sheet name="ABRIL (hasta 28)" sheetId="4" r:id="rId2"/>
    <sheet name="MAYO" sheetId="6" r:id="rId3"/>
    <sheet name="JUNIO" sheetId="7" r:id="rId4"/>
    <sheet name="JULIO" sheetId="8" r:id="rId5"/>
    <sheet name="AGOSTO" sheetId="9" r:id="rId6"/>
    <sheet name="SEPTIEMBRE" sheetId="10" r:id="rId7"/>
    <sheet name="OCTUBRE" sheetId="11" r:id="rId8"/>
    <sheet name="NOVIEMBRE" sheetId="12" r:id="rId9"/>
    <sheet name="DICIEMBRE" sheetId="13" r:id="rId10"/>
  </sheets>
  <definedNames>
    <definedName name="_xlnm._FilterDatabase" localSheetId="1" hidden="1">'ABRIL (hasta 28)'!$A$5:$I$5</definedName>
    <definedName name="_xlnm._FilterDatabase" localSheetId="0" hidden="1">'Enero - marzo'!$A$5:$I$10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<sst xmlns="http://schemas.openxmlformats.org/spreadsheetml/2006/main" count="228" uniqueCount="59">
  <si>
    <t>ES31 2080 1131 9530 4005 2265 - Bizpills, S.l.</t>
  </si>
  <si>
    <t>PERIODO:</t>
  </si>
  <si>
    <t>F. VALOR</t>
  </si>
  <si>
    <t>F. CONTABLE</t>
  </si>
  <si>
    <t>F. OPERACIÓN</t>
  </si>
  <si>
    <t>TIPO OPERACIÓN</t>
  </si>
  <si>
    <t>DESCRIPCIÓN</t>
  </si>
  <si>
    <t>REFERENCIA</t>
  </si>
  <si>
    <t>IMPORTE</t>
  </si>
  <si>
    <t>SALDO</t>
  </si>
  <si>
    <t>DIVISA</t>
  </si>
  <si>
    <t>OPERS PRESTAMOS</t>
  </si>
  <si>
    <t>CARGO PRESTAMO 1131-005926-000 00-</t>
  </si>
  <si>
    <t>EUR</t>
  </si>
  <si>
    <t>COMISION ADMINISTRACION 14-03-2025</t>
  </si>
  <si>
    <t>COMIS.ADMINIST.</t>
  </si>
  <si>
    <t>SERVICIO DE MANTENIMIENTO 14-03-2025</t>
  </si>
  <si>
    <t>COMIS.MANTENIM.</t>
  </si>
  <si>
    <t>2025-01-01 - 2025-03-27</t>
  </si>
  <si>
    <t>COMISION COMISIÓN POR EMISIÓN DE CERTIFI</t>
  </si>
  <si>
    <t>COMISI. Y GTOS</t>
  </si>
  <si>
    <t>FACTURA: F.BP.2024.0903 ISEAZY-BONO DE HORAS FACTORY</t>
  </si>
  <si>
    <t>ABONOS VARIOS</t>
  </si>
  <si>
    <t>FACTURA: F.BP.2024.0902 ISEAZY-CURSOS SEGURIDAD &amp; AUT</t>
  </si>
  <si>
    <t>FACTURA: F.BP.2024.0871 ISEAZY - ROLE PLAY EXTRA</t>
  </si>
  <si>
    <t>2025-04-01 - 2025-04-29</t>
  </si>
  <si>
    <t>B83310789</t>
  </si>
  <si>
    <t>GRUPO SERVEO S.L.</t>
  </si>
  <si>
    <t>2025-05-01 - 2025-05-31</t>
  </si>
  <si>
    <t>PAGO SERVICIOS CORPORATIVOS A BPO C X DE</t>
  </si>
  <si>
    <t>OPERACIONES EN OTRA CAJA</t>
  </si>
  <si>
    <t>OPERACIONES PRESTAMOS</t>
  </si>
  <si>
    <t>TRANSFERENCIAS DE OTRAS ENTIDADES</t>
  </si>
  <si>
    <t>TRASPASO LIQUIDEZ A BP IB DE BP AB</t>
  </si>
  <si>
    <t>SERVICIO DE MANTENIMIENTO 13-06-2025</t>
  </si>
  <si>
    <t>COMISIÓN MANTENIMIENTO</t>
  </si>
  <si>
    <t>COMISION ADMINISTRACION 13-06-2025</t>
  </si>
  <si>
    <t>COMISIÓN ADMINISTRACIÓN</t>
  </si>
  <si>
    <t>ASOCIACION ICEA</t>
  </si>
  <si>
    <t>IGUALATORIO MEDICO QUIRURGICO SA DE SEGUROS Y REASEGU</t>
  </si>
  <si>
    <t>Todas</t>
  </si>
  <si>
    <t>OPERACIÓN:</t>
  </si>
  <si>
    <t>2025-06-01 - 2025-06-30</t>
  </si>
  <si>
    <t>NO HAY MOVIMIENTOS</t>
  </si>
  <si>
    <t>Movimientos recientes</t>
  </si>
  <si>
    <t>TRASPASO LIQUIDEZ A BP IB DE BP ABA NCA</t>
  </si>
  <si>
    <t>FACTURA: F.BP.2025.0408 ISEAZY - BOLSA DE HORAS</t>
  </si>
  <si>
    <t>SERVICIO DE MANTENIMIENTO 12-09-2025</t>
  </si>
  <si>
    <t>COMISION ADMINISTRACION 12-09-2025</t>
  </si>
  <si>
    <t>OPERACIONES BANCARIAS</t>
  </si>
  <si>
    <t>TRASPASO LIQUIDEZ A BP BKR DE BP AB ANCA</t>
  </si>
  <si>
    <t>COMISIONES Y GASTOS</t>
  </si>
  <si>
    <t>2025-11-01 - 2025-11-30</t>
  </si>
  <si>
    <t>2025-12-01 - 2025-12-31</t>
  </si>
  <si>
    <t>COMISION ADMINISTRACION 12-12-2025</t>
  </si>
  <si>
    <t>SERVICIO DE MANTENIMIENTO 12-12-2025</t>
  </si>
  <si>
    <t>SERVEO CORPORACION S.L.</t>
  </si>
  <si>
    <t>FACTURA: F.BP.2025.0881 ISEAZY - BONO DE SERVICIOS</t>
  </si>
  <si>
    <t>004683602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</si>
</sst>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B05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FDA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16" fillId="0" borderId="0" xfId="0" applyFont="1"/>
    <xf numFmtId="43" fontId="18" fillId="33" borderId="10" xfId="42" applyFont="1" applyFill="1" applyBorder="1"/>
    <xf numFmtId="0" fontId="0" fillId="0" borderId="0" xfId="0" quotePrefix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144B-FD30-4C70-AE53-A5A19B6231B0}">
  <dimension ref="A1:I10"/>
  <sheetViews>
    <sheetView workbookViewId="0">
      <selection activeCell="I19" sqref="I19"/>
    </sheetView>
  </sheetViews>
  <sheetFormatPr baseColWidth="10" defaultRowHeight="14.4" x14ac:dyDescent="0.3"/>
  <cols>
    <col min="1" max="1" width="20.5546875" customWidth="1"/>
    <col min="2" max="2" width="21.21875" bestFit="1" customWidth="1"/>
    <col min="3" max="3" width="15.21875" bestFit="1" customWidth="1"/>
    <col min="4" max="4" width="17.88671875" bestFit="1" customWidth="1"/>
    <col min="5" max="5" width="36.77734375" bestFit="1" customWidth="1"/>
    <col min="6" max="6" width="13.5546875" bestFit="1" customWidth="1"/>
    <col min="7" max="7" width="10.77734375" bestFit="1" customWidth="1"/>
    <col min="8" max="9" width="8.77734375" bestFit="1" customWidth="1"/>
  </cols>
  <sheetData>
    <row r="1" spans="1:9" x14ac:dyDescent="0.3">
      <c r="A1" t="s">
        <v>0</v>
      </c>
    </row>
    <row r="3" spans="1:9" x14ac:dyDescent="0.3">
      <c r="A3" t="s">
        <v>1</v>
      </c>
      <c r="B3" t="s">
        <v>18</v>
      </c>
    </row>
    <row r="5" spans="1:9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x14ac:dyDescent="0.3">
      <c r="A6" s="1">
        <v>45683</v>
      </c>
      <c r="B6" s="1">
        <v>45684</v>
      </c>
      <c r="C6" s="1">
        <v>45683</v>
      </c>
      <c r="D6" t="s">
        <v>11</v>
      </c>
      <c r="E6" t="s">
        <v>12</v>
      </c>
      <c r="G6" s="2">
        <v>-1084.02</v>
      </c>
      <c r="H6" s="2">
        <v>7082.86</v>
      </c>
      <c r="I6" t="s">
        <v>13</v>
      </c>
    </row>
    <row r="7" spans="1:9" x14ac:dyDescent="0.3">
      <c r="A7" s="1">
        <v>45714</v>
      </c>
      <c r="B7" s="1">
        <v>45714</v>
      </c>
      <c r="C7" s="1">
        <v>45714</v>
      </c>
      <c r="D7" t="s">
        <v>11</v>
      </c>
      <c r="E7" t="s">
        <v>12</v>
      </c>
      <c r="G7" s="2">
        <v>-1083.95</v>
      </c>
      <c r="H7" s="2">
        <v>5998.91</v>
      </c>
      <c r="I7" t="s">
        <v>13</v>
      </c>
    </row>
    <row r="8" spans="1:9" x14ac:dyDescent="0.3">
      <c r="A8" s="1">
        <v>45730</v>
      </c>
      <c r="B8" s="1">
        <v>45730</v>
      </c>
      <c r="C8" s="1">
        <v>45730</v>
      </c>
      <c r="D8" t="s">
        <v>17</v>
      </c>
      <c r="E8" t="s">
        <v>16</v>
      </c>
      <c r="G8">
        <v>-31</v>
      </c>
      <c r="H8" s="2">
        <v>5967.91</v>
      </c>
      <c r="I8" t="s">
        <v>13</v>
      </c>
    </row>
    <row r="9" spans="1:9" x14ac:dyDescent="0.3">
      <c r="A9" s="1">
        <v>45730</v>
      </c>
      <c r="B9" s="1">
        <v>45730</v>
      </c>
      <c r="C9" s="1">
        <v>45730</v>
      </c>
      <c r="D9" t="s">
        <v>15</v>
      </c>
      <c r="E9" t="s">
        <v>14</v>
      </c>
      <c r="G9">
        <v>-1.8</v>
      </c>
      <c r="H9" s="2">
        <v>5966.11</v>
      </c>
      <c r="I9" t="s">
        <v>13</v>
      </c>
    </row>
    <row r="10" spans="1:9" x14ac:dyDescent="0.3">
      <c r="A10" s="1">
        <v>45742</v>
      </c>
      <c r="B10" s="1">
        <v>45742</v>
      </c>
      <c r="C10" s="1">
        <v>45742</v>
      </c>
      <c r="D10" t="s">
        <v>11</v>
      </c>
      <c r="E10" t="s">
        <v>12</v>
      </c>
      <c r="G10" s="2">
        <v>-1083.2</v>
      </c>
      <c r="H10" s="2">
        <v>4882.91</v>
      </c>
      <c r="I10" t="s">
        <v>13</v>
      </c>
    </row>
  </sheetData>
  <conditionalFormatting sqref="G6:G10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BE2F-8CEC-4B88-B609-DFEF59755B63}">
  <dimension ref="A1:I10"/>
  <sheetViews>
    <sheetView workbookViewId="0">
      <selection activeCell="G17" sqref="G17"/>
    </sheetView>
  </sheetViews>
  <sheetFormatPr baseColWidth="10" defaultRowHeight="14.4" x14ac:dyDescent="0.3"/>
  <cols>
    <col min="4" max="4" width="21.44140625" customWidth="1"/>
    <col min="5" max="5" width="52.33203125" bestFit="1" customWidth="1"/>
  </cols>
  <sheetData>
    <row r="1" spans="1:9" x14ac:dyDescent="0.3">
      <c r="A1" t="s">
        <v>0</v>
      </c>
    </row>
    <row r="3" spans="1:9" x14ac:dyDescent="0.3">
      <c r="A3" t="s">
        <v>1</v>
      </c>
      <c r="B3" t="s">
        <v>25</v>
      </c>
    </row>
    <row r="5" spans="1:9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x14ac:dyDescent="0.3">
      <c r="A6" s="1">
        <v>45750</v>
      </c>
      <c r="B6" s="1">
        <v>45750</v>
      </c>
      <c r="C6" s="1">
        <v>45750</v>
      </c>
      <c r="D6" t="s">
        <v>22</v>
      </c>
      <c r="E6" t="s">
        <v>24</v>
      </c>
      <c r="F6">
        <v>4683602</v>
      </c>
      <c r="G6" s="4">
        <v>2153.8000000000002</v>
      </c>
      <c r="H6" s="2">
        <v>7036.71</v>
      </c>
      <c r="I6" t="s">
        <v>13</v>
      </c>
    </row>
    <row r="7" spans="1:9" x14ac:dyDescent="0.3">
      <c r="A7" s="1">
        <v>45750</v>
      </c>
      <c r="B7" s="1">
        <v>45750</v>
      </c>
      <c r="C7" s="1">
        <v>45750</v>
      </c>
      <c r="D7" t="s">
        <v>22</v>
      </c>
      <c r="E7" t="s">
        <v>23</v>
      </c>
      <c r="F7">
        <v>4683602</v>
      </c>
      <c r="G7" s="4">
        <v>3496.9</v>
      </c>
      <c r="H7" s="2">
        <v>10533.61</v>
      </c>
      <c r="I7" t="s">
        <v>13</v>
      </c>
    </row>
    <row r="8" spans="1:9" x14ac:dyDescent="0.3">
      <c r="A8" s="1">
        <v>45754</v>
      </c>
      <c r="B8" s="1">
        <v>45754</v>
      </c>
      <c r="C8" s="1">
        <v>45754</v>
      </c>
      <c r="D8" t="s">
        <v>22</v>
      </c>
      <c r="E8" t="s">
        <v>21</v>
      </c>
      <c r="F8">
        <v>4683602</v>
      </c>
      <c r="G8" s="4">
        <v>24200</v>
      </c>
      <c r="H8" s="2">
        <v>34733.61</v>
      </c>
      <c r="I8" t="s">
        <v>13</v>
      </c>
    </row>
    <row r="9" spans="1:9" x14ac:dyDescent="0.3">
      <c r="A9" s="1">
        <v>45755</v>
      </c>
      <c r="B9" s="1">
        <v>45755</v>
      </c>
      <c r="C9" s="1">
        <v>45755</v>
      </c>
      <c r="D9" t="s">
        <v>20</v>
      </c>
      <c r="E9" t="s">
        <v>19</v>
      </c>
      <c r="G9">
        <v>-40</v>
      </c>
      <c r="H9" s="2">
        <v>34693.61</v>
      </c>
      <c r="I9" t="s">
        <v>13</v>
      </c>
    </row>
    <row r="10" spans="1:9" x14ac:dyDescent="0.3">
      <c r="A10" s="1">
        <v>45773</v>
      </c>
      <c r="B10" s="1">
        <v>45775</v>
      </c>
      <c r="C10" s="1">
        <v>45773</v>
      </c>
      <c r="D10" t="s">
        <v>11</v>
      </c>
      <c r="E10" t="s">
        <v>12</v>
      </c>
      <c r="G10" s="2">
        <v>-1083.8399999999999</v>
      </c>
      <c r="H10" s="2">
        <v>33609.769999999997</v>
      </c>
      <c r="I10" t="s">
        <v>13</v>
      </c>
    </row>
  </sheetData>
  <conditionalFormatting sqref="G9:G10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1C77-D330-40B5-9B58-87C19D0E959E}">
  <dimension ref="A1:I8"/>
  <sheetViews>
    <sheetView workbookViewId="0">
      <selection activeCell="G22" sqref="G22"/>
    </sheetView>
  </sheetViews>
  <sheetFormatPr baseColWidth="10" defaultRowHeight="14.4" x14ac:dyDescent="0.3"/>
  <cols>
    <col min="4" max="4" width="26.6640625" customWidth="1"/>
    <col min="5" max="5" width="51.77734375" customWidth="1"/>
    <col min="6" max="6" width="15.5546875" customWidth="1"/>
  </cols>
  <sheetData>
    <row r="1" spans="1:9" x14ac:dyDescent="0.3">
      <c r="A1" t="s">
        <v>0</v>
      </c>
    </row>
    <row r="3" spans="1:9" x14ac:dyDescent="0.3">
      <c r="A3" t="s">
        <v>1</v>
      </c>
      <c r="B3" t="s">
        <v>28</v>
      </c>
    </row>
    <row r="5" spans="1:9" s="3" customFormat="1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x14ac:dyDescent="0.3">
      <c r="A6" s="1">
        <v>45786</v>
      </c>
      <c r="B6" s="1">
        <v>45786</v>
      </c>
      <c r="C6" s="1">
        <v>45786</v>
      </c>
      <c r="D6" t="s">
        <v>32</v>
      </c>
      <c r="E6" t="s">
        <v>27</v>
      </c>
      <c r="F6" t="s">
        <v>26</v>
      </c>
      <c r="G6" s="2">
        <v>4717.79</v>
      </c>
      <c r="H6" s="2">
        <v>38327.56</v>
      </c>
      <c r="I6" t="s">
        <v>13</v>
      </c>
    </row>
    <row r="7" spans="1:9" x14ac:dyDescent="0.3">
      <c r="A7" s="1">
        <v>45803</v>
      </c>
      <c r="B7" s="1">
        <v>45803</v>
      </c>
      <c r="C7" s="1">
        <v>45803</v>
      </c>
      <c r="D7" t="s">
        <v>31</v>
      </c>
      <c r="E7" t="s">
        <v>12</v>
      </c>
      <c r="G7" s="2">
        <v>-1083.6600000000001</v>
      </c>
      <c r="H7" s="2">
        <v>37243.9</v>
      </c>
      <c r="I7" t="s">
        <v>13</v>
      </c>
    </row>
    <row r="8" spans="1:9" x14ac:dyDescent="0.3">
      <c r="A8" s="1">
        <v>45806</v>
      </c>
      <c r="B8" s="1">
        <v>45806</v>
      </c>
      <c r="C8" s="1">
        <v>45806</v>
      </c>
      <c r="D8" t="s">
        <v>30</v>
      </c>
      <c r="E8" t="s">
        <v>29</v>
      </c>
      <c r="G8" s="2">
        <v>-24000</v>
      </c>
      <c r="H8" s="2">
        <v>13243.9</v>
      </c>
      <c r="I8" t="s">
        <v>13</v>
      </c>
    </row>
  </sheetData>
  <conditionalFormatting sqref="G6:G8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853D-02BF-4528-BA0A-63B769536D02}">
  <dimension ref="A1:I13"/>
  <sheetViews>
    <sheetView workbookViewId="0">
      <selection activeCell="G27" sqref="G27"/>
    </sheetView>
  </sheetViews>
  <sheetFormatPr baseColWidth="10" defaultRowHeight="14.4" x14ac:dyDescent="0.3"/>
  <cols>
    <col min="4" max="4" width="17.88671875" customWidth="1"/>
    <col min="5" max="5" width="40.33203125" customWidth="1"/>
  </cols>
  <sheetData>
    <row r="1" spans="1:9" x14ac:dyDescent="0.3">
      <c r="A1" t="s">
        <v>0</v>
      </c>
    </row>
    <row r="3" spans="1:9" x14ac:dyDescent="0.3">
      <c r="A3" t="s">
        <v>1</v>
      </c>
      <c r="B3" t="s">
        <v>42</v>
      </c>
    </row>
    <row r="4" spans="1:9" x14ac:dyDescent="0.3">
      <c r="A4" t="s">
        <v>41</v>
      </c>
      <c r="B4" t="s">
        <v>40</v>
      </c>
    </row>
    <row r="6" spans="1:9" s="3" customFormat="1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3">
      <c r="A7" s="1">
        <v>45814</v>
      </c>
      <c r="B7" s="1">
        <v>45814</v>
      </c>
      <c r="C7" s="1">
        <v>45814</v>
      </c>
      <c r="D7" t="s">
        <v>32</v>
      </c>
      <c r="E7" t="s">
        <v>39</v>
      </c>
      <c r="F7" t="s">
        <v>26</v>
      </c>
      <c r="G7" s="2">
        <v>1978.35</v>
      </c>
      <c r="H7" s="2">
        <v>15222.25</v>
      </c>
      <c r="I7" t="s">
        <v>13</v>
      </c>
    </row>
    <row r="8" spans="1:9" x14ac:dyDescent="0.3">
      <c r="A8" s="1">
        <v>45814</v>
      </c>
      <c r="B8" s="1">
        <v>45814</v>
      </c>
      <c r="C8" s="1">
        <v>45814</v>
      </c>
      <c r="D8" t="s">
        <v>32</v>
      </c>
      <c r="E8" t="s">
        <v>38</v>
      </c>
      <c r="F8" t="s">
        <v>26</v>
      </c>
      <c r="G8" s="2">
        <v>18150</v>
      </c>
      <c r="H8" s="2">
        <v>33372.25</v>
      </c>
      <c r="I8" t="s">
        <v>13</v>
      </c>
    </row>
    <row r="9" spans="1:9" x14ac:dyDescent="0.3">
      <c r="A9" s="1">
        <v>45821</v>
      </c>
      <c r="B9" s="1">
        <v>45821</v>
      </c>
      <c r="C9" s="1">
        <v>45821</v>
      </c>
      <c r="D9" t="s">
        <v>37</v>
      </c>
      <c r="E9" t="s">
        <v>36</v>
      </c>
      <c r="G9" s="2">
        <v>-3</v>
      </c>
      <c r="H9" s="2">
        <v>33369.25</v>
      </c>
      <c r="I9" t="s">
        <v>13</v>
      </c>
    </row>
    <row r="10" spans="1:9" x14ac:dyDescent="0.3">
      <c r="A10" s="1">
        <v>45821</v>
      </c>
      <c r="B10" s="1">
        <v>45821</v>
      </c>
      <c r="C10" s="1">
        <v>45821</v>
      </c>
      <c r="D10" t="s">
        <v>35</v>
      </c>
      <c r="E10" t="s">
        <v>34</v>
      </c>
      <c r="G10" s="2">
        <v>-31</v>
      </c>
      <c r="H10" s="2">
        <v>33338.25</v>
      </c>
      <c r="I10" t="s">
        <v>13</v>
      </c>
    </row>
    <row r="11" spans="1:9" x14ac:dyDescent="0.3">
      <c r="A11" s="1">
        <v>45827</v>
      </c>
      <c r="B11" s="1">
        <v>45827</v>
      </c>
      <c r="C11" s="1">
        <v>45827</v>
      </c>
      <c r="D11" t="s">
        <v>32</v>
      </c>
      <c r="E11" t="s">
        <v>27</v>
      </c>
      <c r="F11" t="s">
        <v>26</v>
      </c>
      <c r="G11" s="2">
        <v>20116.25</v>
      </c>
      <c r="H11" s="2">
        <v>53454.5</v>
      </c>
      <c r="I11" t="s">
        <v>13</v>
      </c>
    </row>
    <row r="12" spans="1:9" x14ac:dyDescent="0.3">
      <c r="A12" s="1">
        <v>45827</v>
      </c>
      <c r="B12" s="1">
        <v>45827</v>
      </c>
      <c r="C12" s="1">
        <v>45827</v>
      </c>
      <c r="D12" t="s">
        <v>30</v>
      </c>
      <c r="E12" t="s">
        <v>33</v>
      </c>
      <c r="G12" s="2">
        <v>-50000</v>
      </c>
      <c r="H12" s="2">
        <v>3454.5</v>
      </c>
      <c r="I12" t="s">
        <v>13</v>
      </c>
    </row>
    <row r="13" spans="1:9" x14ac:dyDescent="0.3">
      <c r="A13" s="1">
        <v>45834</v>
      </c>
      <c r="B13" s="1">
        <v>45834</v>
      </c>
      <c r="C13" s="1">
        <v>45834</v>
      </c>
      <c r="D13" t="s">
        <v>31</v>
      </c>
      <c r="E13" t="s">
        <v>12</v>
      </c>
      <c r="G13" s="2">
        <v>-1083.75</v>
      </c>
      <c r="H13" s="2">
        <v>2370.75</v>
      </c>
      <c r="I13" t="s">
        <v>13</v>
      </c>
    </row>
  </sheetData>
  <conditionalFormatting sqref="G7:G13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6EAE-D761-4C00-9981-B39EBBF0D875}">
  <dimension ref="A1"/>
  <sheetViews>
    <sheetView workbookViewId="0">
      <selection activeCell="E6" sqref="E6"/>
    </sheetView>
  </sheetViews>
  <sheetFormatPr baseColWidth="10" defaultRowHeight="14.4" x14ac:dyDescent="0.3"/>
  <sheetData>
    <row r="1" spans="1:1" x14ac:dyDescent="0.3">
      <c r="A1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561C-EB07-42DB-A5D2-4AD3A8EE79C7}">
  <dimension ref="A1:I13"/>
  <sheetViews>
    <sheetView workbookViewId="0">
      <selection activeCell="F24" sqref="F24"/>
    </sheetView>
  </sheetViews>
  <sheetFormatPr baseColWidth="10" defaultRowHeight="14.4" x14ac:dyDescent="0.3"/>
  <cols>
    <col min="5" max="5" width="33.6640625" customWidth="1"/>
  </cols>
  <sheetData>
    <row r="1" spans="1:9" x14ac:dyDescent="0.3">
      <c r="A1" t="s">
        <v>0</v>
      </c>
    </row>
    <row r="3" spans="1:9" x14ac:dyDescent="0.3">
      <c r="A3" t="s">
        <v>1</v>
      </c>
      <c r="B3" t="s">
        <v>44</v>
      </c>
    </row>
    <row r="4" spans="1:9" x14ac:dyDescent="0.3">
      <c r="A4" t="s">
        <v>41</v>
      </c>
      <c r="B4" t="s">
        <v>40</v>
      </c>
    </row>
    <row r="6" spans="1:9" s="3" customFormat="1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3">
      <c r="A7" s="1">
        <v>45887</v>
      </c>
      <c r="B7" s="1">
        <v>45887</v>
      </c>
      <c r="C7" s="1">
        <v>45887</v>
      </c>
      <c r="D7" t="s">
        <v>30</v>
      </c>
      <c r="E7" t="s">
        <v>45</v>
      </c>
      <c r="G7" s="2">
        <v>-20000</v>
      </c>
      <c r="H7" s="2">
        <v>6570.75</v>
      </c>
      <c r="I7" t="s">
        <v>13</v>
      </c>
    </row>
    <row r="8" spans="1:9" x14ac:dyDescent="0.3">
      <c r="A8" s="1">
        <v>45881</v>
      </c>
      <c r="B8" s="1">
        <v>45881</v>
      </c>
      <c r="C8" s="1">
        <v>45881</v>
      </c>
      <c r="D8" t="s">
        <v>22</v>
      </c>
      <c r="E8" t="s">
        <v>46</v>
      </c>
      <c r="F8">
        <v>4683602</v>
      </c>
      <c r="G8" s="2">
        <v>24200</v>
      </c>
      <c r="H8" s="2">
        <v>26570.75</v>
      </c>
      <c r="I8" t="s">
        <v>13</v>
      </c>
    </row>
    <row r="9" spans="1:9" x14ac:dyDescent="0.3">
      <c r="G9" s="2"/>
    </row>
    <row r="10" spans="1:9" x14ac:dyDescent="0.3">
      <c r="G10" s="2"/>
    </row>
    <row r="11" spans="1:9" x14ac:dyDescent="0.3">
      <c r="G11" s="2"/>
    </row>
    <row r="12" spans="1:9" x14ac:dyDescent="0.3">
      <c r="G12" s="2"/>
    </row>
    <row r="13" spans="1:9" x14ac:dyDescent="0.3">
      <c r="G13" s="2"/>
    </row>
  </sheetData>
  <conditionalFormatting sqref="G7:G13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83A7-5C67-4BD1-9B49-B4221955F5E3}">
  <dimension ref="A1:I8"/>
  <sheetViews>
    <sheetView workbookViewId="0">
      <selection activeCell="K25" sqref="K25"/>
    </sheetView>
  </sheetViews>
  <sheetFormatPr baseColWidth="10" defaultRowHeight="14.4" x14ac:dyDescent="0.3"/>
  <sheetData>
    <row r="1" spans="1:9" x14ac:dyDescent="0.3">
      <c r="A1" t="s">
        <v>0</v>
      </c>
    </row>
    <row r="3" spans="1:9" x14ac:dyDescent="0.3">
      <c r="A3" t="s">
        <v>1</v>
      </c>
      <c r="B3" t="s">
        <v>44</v>
      </c>
    </row>
    <row r="4" spans="1:9" x14ac:dyDescent="0.3">
      <c r="A4" t="s">
        <v>41</v>
      </c>
      <c r="B4" t="s">
        <v>40</v>
      </c>
    </row>
    <row r="6" spans="1:9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3">
      <c r="A7" s="1">
        <v>45912</v>
      </c>
      <c r="B7" s="1">
        <v>45912</v>
      </c>
      <c r="C7" s="1">
        <v>45912</v>
      </c>
      <c r="D7" t="s">
        <v>35</v>
      </c>
      <c r="E7" t="s">
        <v>47</v>
      </c>
      <c r="G7" s="2">
        <v>-31</v>
      </c>
      <c r="H7" s="2">
        <v>6536.15</v>
      </c>
      <c r="I7" t="s">
        <v>13</v>
      </c>
    </row>
    <row r="8" spans="1:9" x14ac:dyDescent="0.3">
      <c r="A8" s="1">
        <v>45912</v>
      </c>
      <c r="B8" s="1">
        <v>45912</v>
      </c>
      <c r="C8" s="1">
        <v>45912</v>
      </c>
      <c r="D8" t="s">
        <v>37</v>
      </c>
      <c r="E8" t="s">
        <v>48</v>
      </c>
      <c r="G8" s="2">
        <v>-3.6</v>
      </c>
      <c r="H8" s="2">
        <v>6567.15</v>
      </c>
      <c r="I8" t="s">
        <v>13</v>
      </c>
    </row>
  </sheetData>
  <conditionalFormatting sqref="G7:G8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D9E8-A0F2-4FE1-A8F4-F5181A6DE81A}">
  <dimension ref="A1:I8"/>
  <sheetViews>
    <sheetView workbookViewId="0">
      <selection activeCell="J1" sqref="J1:J1048576"/>
    </sheetView>
  </sheetViews>
  <sheetFormatPr baseColWidth="10" defaultRowHeight="14.4" x14ac:dyDescent="0.3"/>
  <cols>
    <col min="4" max="4" width="16" customWidth="1"/>
    <col min="5" max="5" width="40.109375" customWidth="1"/>
  </cols>
  <sheetData>
    <row r="1" spans="1:9" x14ac:dyDescent="0.3">
      <c r="A1" t="s">
        <v>0</v>
      </c>
    </row>
    <row r="3" spans="1:9" x14ac:dyDescent="0.3">
      <c r="A3" t="s">
        <v>1</v>
      </c>
      <c r="B3" t="s">
        <v>44</v>
      </c>
    </row>
    <row r="4" spans="1:9" x14ac:dyDescent="0.3">
      <c r="A4" t="s">
        <v>41</v>
      </c>
      <c r="B4" t="s">
        <v>40</v>
      </c>
    </row>
    <row r="6" spans="1:9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3">
      <c r="A7" s="1">
        <v>45960</v>
      </c>
      <c r="B7" s="1">
        <v>45960</v>
      </c>
      <c r="C7" s="1">
        <v>45960</v>
      </c>
      <c r="D7" t="s">
        <v>32</v>
      </c>
      <c r="E7" t="s">
        <v>38</v>
      </c>
      <c r="F7" t="s">
        <v>26</v>
      </c>
      <c r="G7" s="2">
        <v>2924.69</v>
      </c>
      <c r="H7" s="2">
        <v>3460.84</v>
      </c>
      <c r="I7" t="s">
        <v>13</v>
      </c>
    </row>
    <row r="8" spans="1:9" x14ac:dyDescent="0.3">
      <c r="A8" s="1">
        <v>45940</v>
      </c>
      <c r="B8" s="1">
        <v>45940</v>
      </c>
      <c r="C8" s="1">
        <v>45940</v>
      </c>
      <c r="D8" t="s">
        <v>49</v>
      </c>
      <c r="E8" t="s">
        <v>50</v>
      </c>
      <c r="G8" s="2">
        <v>-6000</v>
      </c>
      <c r="H8">
        <v>536.15</v>
      </c>
      <c r="I8" t="s">
        <v>13</v>
      </c>
    </row>
  </sheetData>
  <conditionalFormatting sqref="G7:G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ED04-0C74-4ECF-9AAB-930A8669B592}">
  <dimension ref="A1:I8"/>
  <sheetViews>
    <sheetView workbookViewId="0">
      <selection activeCell="I24" sqref="I24"/>
    </sheetView>
  </sheetViews>
  <sheetFormatPr baseColWidth="10" defaultRowHeight="14.4" x14ac:dyDescent="0.3"/>
  <sheetData>
    <row r="1" spans="1:9" x14ac:dyDescent="0.3">
      <c r="A1" t="s">
        <v>0</v>
      </c>
    </row>
    <row r="3" spans="1:9" x14ac:dyDescent="0.3">
      <c r="A3" t="s">
        <v>1</v>
      </c>
      <c r="B3" t="s">
        <v>52</v>
      </c>
    </row>
    <row r="4" spans="1:9" x14ac:dyDescent="0.3">
      <c r="A4" t="s">
        <v>41</v>
      </c>
      <c r="B4" t="s">
        <v>40</v>
      </c>
    </row>
    <row r="6" spans="1:9" s="3" customFormat="1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3">
      <c r="A7" s="1">
        <v>45978</v>
      </c>
      <c r="B7" s="1">
        <v>45978</v>
      </c>
      <c r="C7" s="1">
        <v>45978</v>
      </c>
      <c r="D7" t="s">
        <v>49</v>
      </c>
      <c r="E7" t="s">
        <v>50</v>
      </c>
      <c r="G7" s="2">
        <v>-3000</v>
      </c>
      <c r="H7">
        <v>460.84</v>
      </c>
      <c r="I7" t="s">
        <v>13</v>
      </c>
    </row>
    <row r="8" spans="1:9" x14ac:dyDescent="0.3">
      <c r="A8" s="1">
        <v>45978</v>
      </c>
      <c r="B8" s="1">
        <v>45978</v>
      </c>
      <c r="C8" s="1">
        <v>45978</v>
      </c>
      <c r="D8" t="s">
        <v>51</v>
      </c>
      <c r="E8" t="s">
        <v>51</v>
      </c>
      <c r="G8">
        <v>-0.15</v>
      </c>
      <c r="H8">
        <v>460.69</v>
      </c>
      <c r="I8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E9C6-0934-4313-B479-8C192F822950}">
  <dimension ref="A1:I11"/>
  <sheetViews>
    <sheetView tabSelected="1" workbookViewId="0">
      <selection activeCell="O13" sqref="O13"/>
    </sheetView>
  </sheetViews>
  <sheetFormatPr baseColWidth="10" defaultRowHeight="14.4" x14ac:dyDescent="0.3"/>
  <cols>
    <col min="4" max="4" width="34.6640625" bestFit="1" customWidth="1"/>
    <col min="5" max="5" width="47.77734375" bestFit="1" customWidth="1"/>
    <col min="6" max="6" width="12.21875" bestFit="1" customWidth="1"/>
  </cols>
  <sheetData>
    <row r="1" spans="1:9" x14ac:dyDescent="0.3">
      <c r="A1" t="s">
        <v>0</v>
      </c>
    </row>
    <row r="3" spans="1:9" x14ac:dyDescent="0.3">
      <c r="A3" t="s">
        <v>1</v>
      </c>
      <c r="B3" t="s">
        <v>53</v>
      </c>
    </row>
    <row r="4" spans="1:9" x14ac:dyDescent="0.3">
      <c r="A4" t="s">
        <v>41</v>
      </c>
      <c r="B4" t="s">
        <v>40</v>
      </c>
    </row>
    <row r="6" spans="1:9" s="3" customFormat="1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3">
      <c r="A7" s="1">
        <v>46003</v>
      </c>
      <c r="B7" s="1">
        <v>46003</v>
      </c>
      <c r="C7" s="1">
        <v>46003</v>
      </c>
      <c r="D7" t="s">
        <v>37</v>
      </c>
      <c r="E7" t="s">
        <v>54</v>
      </c>
      <c r="G7">
        <v>-1.8</v>
      </c>
      <c r="H7">
        <v>458.89</v>
      </c>
      <c r="I7" t="s">
        <v>13</v>
      </c>
    </row>
    <row r="8" spans="1:9" x14ac:dyDescent="0.3">
      <c r="A8" s="1">
        <v>46003</v>
      </c>
      <c r="B8" s="1">
        <v>46003</v>
      </c>
      <c r="C8" s="1">
        <v>46003</v>
      </c>
      <c r="D8" t="s">
        <v>35</v>
      </c>
      <c r="E8" t="s">
        <v>55</v>
      </c>
      <c r="G8">
        <v>-36</v>
      </c>
      <c r="H8">
        <v>422.89</v>
      </c>
      <c r="I8" t="s">
        <v>13</v>
      </c>
    </row>
    <row r="9" spans="1:9" x14ac:dyDescent="0.3">
      <c r="A9" s="1">
        <v>46009</v>
      </c>
      <c r="B9" s="1">
        <v>46009</v>
      </c>
      <c r="C9" s="1">
        <v>46009</v>
      </c>
      <c r="D9" t="s">
        <v>32</v>
      </c>
      <c r="E9" t="s">
        <v>56</v>
      </c>
      <c r="F9" t="s">
        <v>26</v>
      </c>
      <c r="G9">
        <v>145.19999999999999</v>
      </c>
      <c r="H9">
        <v>568.09</v>
      </c>
      <c r="I9" t="s">
        <v>13</v>
      </c>
    </row>
    <row r="10" spans="1:9" x14ac:dyDescent="0.3">
      <c r="A10" s="1">
        <v>46021</v>
      </c>
      <c r="B10" s="1">
        <v>46021</v>
      </c>
      <c r="C10" s="1">
        <v>46021</v>
      </c>
      <c r="D10" t="s">
        <v>32</v>
      </c>
      <c r="E10" t="s">
        <v>38</v>
      </c>
      <c r="F10" t="s">
        <v>26</v>
      </c>
      <c r="G10" s="2">
        <v>8774.07</v>
      </c>
      <c r="H10" s="2">
        <v>9342.16</v>
      </c>
      <c r="I10" t="s">
        <v>13</v>
      </c>
    </row>
    <row r="11" spans="1:9" x14ac:dyDescent="0.3">
      <c r="A11" s="1">
        <v>46022</v>
      </c>
      <c r="B11" s="1">
        <v>46022</v>
      </c>
      <c r="C11" s="1">
        <v>46022</v>
      </c>
      <c r="D11" t="s">
        <v>22</v>
      </c>
      <c r="E11" t="s">
        <v>57</v>
      </c>
      <c r="F11" s="5" t="s">
        <v>58</v>
      </c>
      <c r="G11" s="2">
        <v>24200</v>
      </c>
      <c r="H11" s="2">
        <v>33542.160000000003</v>
      </c>
      <c r="I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Enero - marzo</vt:lpstr>
      <vt:lpstr>ABRIL (hasta 28)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Pascual Briones</dc:creator>
  <cp:lastModifiedBy>Marina Pascual Briones</cp:lastModifiedBy>
  <dcterms:created xsi:type="dcterms:W3CDTF">2025-02-19T14:01:02Z</dcterms:created>
  <dcterms:modified xsi:type="dcterms:W3CDTF">2026-02-25T12:34:46Z</dcterms:modified>
</cp:coreProperties>
</file>