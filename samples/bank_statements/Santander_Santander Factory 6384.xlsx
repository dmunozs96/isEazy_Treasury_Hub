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216" documentId="11_25080901C3E6736A5CF2F47F9E643984A7E5DFB3" xr6:coauthVersionLast="47" xr6:coauthVersionMax="47" xr10:uidLastSave="{2AC637B5-54A0-4E65-AAF1-D82C35DD2CEE}"/>
  <bookViews>
    <workbookView xWindow="28680" yWindow="-30" windowWidth="29040" windowHeight="15720" xr2:uid="{00000000-000D-0000-FFFF-FFFF00000000}"/>
  </bookViews>
  <sheets>
    <sheet name="ENERO" sheetId="1" r:id="rId1"/>
    <sheet name="FEBRERO" sheetId="2" r:id="rId2"/>
    <sheet name="MARZO" sheetId="3" r:id="rId3"/>
    <sheet name="ABRIL" sheetId="5" r:id="rId4"/>
    <sheet name="MAYO" sheetId="7" r:id="rId5"/>
    <sheet name="JUNIO" sheetId="8" r:id="rId6"/>
    <sheet name="JULIO" sheetId="9" r:id="rId7"/>
    <sheet name="AGOSTO" sheetId="11" r:id="rId8"/>
    <sheet name="SEPTIEMBRE" sheetId="12" r:id="rId9"/>
    <sheet name="OCTUBRE" sheetId="13" r:id="rId10"/>
    <sheet name="NOVIEMBRE" sheetId="14" r:id="rId11"/>
    <sheet name="DICIEMBRE" sheetId="15" r:id="rId12"/>
  </sheets>
  <definedNames>
    <definedName name="_xlnm._FilterDatabase" localSheetId="0" hidden="1">ENERO!$A$8:$L$27</definedName>
    <definedName name="_xlnm._FilterDatabase" localSheetId="2" hidden="1">MARZO!$A$8:$L$20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<sst xmlns="http://schemas.openxmlformats.org/spreadsheetml/2006/main" count="1284" uniqueCount="236">
  <si>
    <t>Titular</t>
  </si>
  <si>
    <t>Saldo disponible</t>
  </si>
  <si>
    <t>Saldo real</t>
  </si>
  <si>
    <t>ISEAZY FACTORY SL</t>
  </si>
  <si>
    <t>28.827,34 EUR</t>
  </si>
  <si>
    <t>Cuenta</t>
  </si>
  <si>
    <t>Retenciones</t>
  </si>
  <si>
    <t>Saldo consolidado</t>
  </si>
  <si>
    <t>ES62 0075 1788 54 0600116384</t>
  </si>
  <si>
    <t>0,00 EUR</t>
  </si>
  <si>
    <t>Movimientos Fecha desde 01/01/2025 Fecha Hasta 31/01/2025</t>
  </si>
  <si>
    <t>26/02/2025 | 10:27:24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</si>
  <si>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</si>
  <si>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</si>
  <si>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</si>
  <si>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</si>
  <si>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</si>
  <si>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</si>
  <si>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</si>
  <si>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</si>
  <si>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</si>
  <si>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</si>
  <si>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</si>
  <si>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29/01/2025</t>
  </si>
  <si>
    <t>Transferencia De Glaxosmithkline Ihc Limited, Concepto Gsk F.bp.2024.0958.</t>
  </si>
  <si>
    <t>EUR</t>
  </si>
  <si>
    <t>071</t>
  </si>
  <si>
    <t/>
  </si>
  <si>
    <t>28/01/2025</t>
  </si>
  <si>
    <t>Transferencia De Fluidra, Sa, Concepto Invoice F.bp.2024.1082 2024-12-26 Payment Amt 3550.74 Eur.</t>
  </si>
  <si>
    <t>27/01/2025</t>
  </si>
  <si>
    <t>Transferencia A Favor De Bizpills Group Bpo Concepto: Pago Servicios Corporativos Bpo Bkr De Bp Pp</t>
  </si>
  <si>
    <t>072</t>
  </si>
  <si>
    <t>Transferencia De Iseazy Factory Sl, Concepto Traspaso Liquidez A Bp Pp De Bp Sch.</t>
  </si>
  <si>
    <t>24/01/2025</t>
  </si>
  <si>
    <t>23/01/2025</t>
  </si>
  <si>
    <t>Liquidacion Periodica Del Aval 00491837572110016668</t>
  </si>
  <si>
    <t>100</t>
  </si>
  <si>
    <t xml:space="preserve">2110016668                                        </t>
  </si>
  <si>
    <t>22/01/2025</t>
  </si>
  <si>
    <t>Transferencia A Favor De Volkswagen Bank Gmbh Sucursal En Espana Concepto: Devolución Pago Duplicado F.bp.2024.0989 Volkswagen</t>
  </si>
  <si>
    <t>Transferencia A Favor De Bizpills Group Bpo Concepto: Pago Servicios Corporativos A Bpo Ib De Bp Pp</t>
  </si>
  <si>
    <t>21/01/2025</t>
  </si>
  <si>
    <t>Transferencia De Glaxosmithkline Ihc Limited, Concepto Gsk F.bp.2024.0924.</t>
  </si>
  <si>
    <t>20/01/2025</t>
  </si>
  <si>
    <t>Transferencia De Glaxosmithkline Ihc Limited, Concepto Gsk F.bp.2024.0913 6601619821.</t>
  </si>
  <si>
    <t>17/01/2025</t>
  </si>
  <si>
    <t>Transferencia De Vw Bank Spain, Concepto F.bp.2024.0989.</t>
  </si>
  <si>
    <t>Transferencia De Volkswagen Renting, Concepto F.bp.2024.0987.</t>
  </si>
  <si>
    <t>13/01/2025</t>
  </si>
  <si>
    <t>Transferencia De Ingenieria De Sistemas Para La Defensa De Espana S, Concepto Cdscor Issrbizpills, S.l. Reff.bp.2024.0954.</t>
  </si>
  <si>
    <t>08/01/2025</t>
  </si>
  <si>
    <t>Transferencia De Santander Factoring Y Confirming S.a. E.f.c., Concepto Abono Facturas A Vto.(esa08037392).</t>
  </si>
  <si>
    <t>07/01/2025</t>
  </si>
  <si>
    <t>Liquidacion Periodica Prestamo 0049 1837 123 0035558</t>
  </si>
  <si>
    <t>06/01/2025</t>
  </si>
  <si>
    <t>Liquidacion Periodica Del Aval 00491837532110016665</t>
  </si>
  <si>
    <t xml:space="preserve">2110016665                                        </t>
  </si>
  <si>
    <t>Traspaso: Pago Servicios Corporativos A Bpo Sch De Bp Pp</t>
  </si>
  <si>
    <t>Transferencia De Dkv Seguros Y Reaseguros Sociedad Anonima Espanola, .</t>
  </si>
  <si>
    <t>Transferencia De Glaxosmithkline Ihc Limited, Concepto Gsk F.bp.2024.0618 6601505862.</t>
  </si>
  <si>
    <t>91.021,70 EUR</t>
  </si>
  <si>
    <t>Movimientos Fecha desde 01/01/2025 Fecha Hasta 28/02/2025</t>
  </si>
  <si>
    <t>12/03/2025 | 11:24:30</t>
  </si>
  <si>
    <t>03/02/2025</t>
  </si>
  <si>
    <t>Liquidacion De Las Tarjetas De Credito Del Contrato 0049 1837 501 2410115</t>
  </si>
  <si>
    <t>002</t>
  </si>
  <si>
    <t xml:space="preserve">0049183750124101                                  </t>
  </si>
  <si>
    <t>05/02/2025</t>
  </si>
  <si>
    <t>04/02/2025</t>
  </si>
  <si>
    <t>Liquidacion Periodica Del Aval 00491837522110016667</t>
  </si>
  <si>
    <t>07/02/2025</t>
  </si>
  <si>
    <t>12/02/2025</t>
  </si>
  <si>
    <t>Transferencia De Fundacion Universidad De Cantabria Para El Estudio, Concepto Fra Fbp20250032.</t>
  </si>
  <si>
    <t>14/02/2025</t>
  </si>
  <si>
    <t>10.744,13 EUR</t>
  </si>
  <si>
    <t>Movimientos Fecha desde 01/03/2025 Fecha Hasta 31/03/2025</t>
  </si>
  <si>
    <t>11/04/2025 | 12:44:24</t>
  </si>
  <si>
    <t>26/03/2025</t>
  </si>
  <si>
    <t>18/03/2025</t>
  </si>
  <si>
    <t>Transferencia A Favor De Iseazy Factory Concepto: Traspaso Liquidez A Bp Bkr De Bp Sch</t>
  </si>
  <si>
    <t>Transferencia A Favor De Bizpills Group Bpo Concepto: Pago Servicios Corporativos A Bpo Bkr De Bp Sch</t>
  </si>
  <si>
    <t>Transferencia De Noatum Holdings, S.l.u., Concepto F.bp.2025.0076noatum Holdings, S.l.u..</t>
  </si>
  <si>
    <t>Comision Por Informes Para Auditorias</t>
  </si>
  <si>
    <t>10/03/2025</t>
  </si>
  <si>
    <t>Transferencia De Volkswagen International Belgium, Concepto 0040816639 On Behalf Of Seat Sa 33010069 Na00330100692025.</t>
  </si>
  <si>
    <t>0040816639</t>
  </si>
  <si>
    <t>07/03/2025</t>
  </si>
  <si>
    <t>Transferencia De Aplicaciones Y Tratamientos De Sistemasssa, Concepto F.bp.2025.0054.</t>
  </si>
  <si>
    <t>04/03/2025</t>
  </si>
  <si>
    <t>03/03/2025</t>
  </si>
  <si>
    <t>Liquidacion Del Contrato 0005931 300</t>
  </si>
  <si>
    <t>La pagan duplicada</t>
  </si>
  <si>
    <t>07/04/2025</t>
  </si>
  <si>
    <t>08/04/2025</t>
  </si>
  <si>
    <t>070</t>
  </si>
  <si>
    <t>Recepcion De Entrega A Cuenta Tarjeta 4277920006797044</t>
  </si>
  <si>
    <t>14/04/2025</t>
  </si>
  <si>
    <t>Recepcion De Entrega A Cuenta Tarjeta 4273050019518957</t>
  </si>
  <si>
    <t>Transferencia De Caixabank, S.a., Concepto Pago De Facturas Del Cliente Roca Sanitario, S.a..</t>
  </si>
  <si>
    <t>15/04/2025</t>
  </si>
  <si>
    <t>17/04/2025</t>
  </si>
  <si>
    <t>Transferencia A Favor De Bizpills Group Bpo Concepto: Pego Servicios Corporativos A Bpo Bkr De Bp Pp</t>
  </si>
  <si>
    <t>23/04/2025</t>
  </si>
  <si>
    <t>24/04/2025</t>
  </si>
  <si>
    <t>Transferencia De Fluidra S.a., Concepto Invoice F.bp.2025.0164 2025-03-25 Payment Amt 869.99 Eur.</t>
  </si>
  <si>
    <t>28/04/2025</t>
  </si>
  <si>
    <t>07/05/2025</t>
  </si>
  <si>
    <t>30/04/2025</t>
  </si>
  <si>
    <t>Transferencia De Industrial Farmaceutica Cantabria S.a., Concepto Scorf.bp.2025.0162.</t>
  </si>
  <si>
    <t>Transferencia De Luis Calvo Sanz, S.a., Concepto /inv/f.izy.2025.0045 31.1.2025.</t>
  </si>
  <si>
    <t>15/05/2025</t>
  </si>
  <si>
    <t>Traspaso: Pago F.izy.2025.0045 Luis Calvo Pagada Por Error En Factory</t>
  </si>
  <si>
    <t>19/05/2025</t>
  </si>
  <si>
    <t>26/05/2025</t>
  </si>
  <si>
    <t>Transferencia De Fluidra S.a., Concepto Invoice F.bp.2025.0192 2025-03-31 Payment Amt 2644.46 Eur.</t>
  </si>
  <si>
    <t>27/05/2025</t>
  </si>
  <si>
    <t>Transferencia De Aplicaciones Y Tratamientos De Sistemasssa, Concepto F.bp.2024.1079.</t>
  </si>
  <si>
    <t>29/05/2025</t>
  </si>
  <si>
    <t>Transferencia De Banco Bilbao Vizcaya Argentaria S.a., Concepto Pago Vencimiento Confirming De Roca Sanitario S.a..</t>
  </si>
  <si>
    <t>30/05/2025</t>
  </si>
  <si>
    <t>16/06/2025 | 09:29:27</t>
  </si>
  <si>
    <t>Movimientos Fecha desde 01/05/2025 Fecha Hasta 31/05/2025</t>
  </si>
  <si>
    <t>13.284,39 EUR</t>
  </si>
  <si>
    <t>Transferencia De Mutua Madrilena Automovilista Sociedad De Seguros, Concepto N. Factura: F.bp.2025.0213.</t>
  </si>
  <si>
    <t>02/06/2025</t>
  </si>
  <si>
    <t>03/06/2025</t>
  </si>
  <si>
    <t>04/06/2025</t>
  </si>
  <si>
    <t>06/06/2025</t>
  </si>
  <si>
    <t>07/06/2025</t>
  </si>
  <si>
    <t>09/06/2025</t>
  </si>
  <si>
    <t>20/06/2025</t>
  </si>
  <si>
    <t>Transferencia De Fluidra S.a., Concepto Invoice F.bp.2025.0061 2025-01-31 Payment Amt 3550.74 Eur.</t>
  </si>
  <si>
    <t>26/06/2025</t>
  </si>
  <si>
    <t>03/07/2025 | 16:58:44</t>
  </si>
  <si>
    <t>Movimientos Fecha desde 01/06/2025 Fecha Hasta 30/06/2025</t>
  </si>
  <si>
    <t>17.512,73 EUR</t>
  </si>
  <si>
    <t>35.517,53 EUR</t>
  </si>
  <si>
    <t>24.247,52 EUR</t>
  </si>
  <si>
    <t>Movimientos Fecha desde 01/07/2025 Fecha Hasta 31/07/2025</t>
  </si>
  <si>
    <t>31/07/2025 | 15:02:39</t>
  </si>
  <si>
    <t>29/07/2025</t>
  </si>
  <si>
    <t>28/07/2025</t>
  </si>
  <si>
    <t>Transferencia De Fluidra S.a., Concepto F.bp.2025.0370 6273.86 Eur/ F.bp.2025.0411 4092.22 Eur.</t>
  </si>
  <si>
    <t>24/07/2025</t>
  </si>
  <si>
    <t>23/07/2025</t>
  </si>
  <si>
    <t>21/07/2025</t>
  </si>
  <si>
    <t>Transferencia De Ergo Vida Seguros Y Reaseguros Sa, .</t>
  </si>
  <si>
    <t>Transferencia De Mutua Madrilena Automovilista Sociedad De Seguros, Concepto N. Factura: F.bp.2025.0476.</t>
  </si>
  <si>
    <t>11/07/2025</t>
  </si>
  <si>
    <t>Transferencia A Favor De Iseazy Factory Concepto: Transferencia A Bp Ib De Bp Pp</t>
  </si>
  <si>
    <t>09/07/2025</t>
  </si>
  <si>
    <t>Transferencia De Fundacion Universidad De Cantabria Para El Estudio, Concepto Fra Fbp20250443.</t>
  </si>
  <si>
    <t>08/07/2025</t>
  </si>
  <si>
    <t>07/07/2025</t>
  </si>
  <si>
    <t>03/07/2025</t>
  </si>
  <si>
    <t>Transferencia De Instituto Para La Diversificacion Y Ahorro De La E, Concepto /inv/642 31.7.2024.</t>
  </si>
  <si>
    <t>18/08/2025</t>
  </si>
  <si>
    <t>Transferencia A Favor De Iseazy Factory Concepto: Traspaso Liquidez A Bp Ib De Bp Pp</t>
  </si>
  <si>
    <t>Transferencia Inmediata A Favor De Iseazy Factory Concepto Traspaso Liquidez A Bp Bkr De Bp Sch</t>
  </si>
  <si>
    <t>07/08/2025</t>
  </si>
  <si>
    <t>01/08/2025</t>
  </si>
  <si>
    <t>Traspaso: Pago Servicios Corporativos A Bpo Sch De Bp Sch</t>
  </si>
  <si>
    <t>28/08/2025</t>
  </si>
  <si>
    <t>Transferencia A Favor De Iseazy Factory Concepto: Traspaso Liquidez A Bp Cx De Bp Pp</t>
  </si>
  <si>
    <t>29/08/2025</t>
  </si>
  <si>
    <t>03/09/2025 | 08:47:09</t>
  </si>
  <si>
    <t>Movimientos Fecha desde 01/08/2025 Fecha Hasta 31/08/2025</t>
  </si>
  <si>
    <t>14.894,36 EUR</t>
  </si>
  <si>
    <t>21.801,34 EUR</t>
  </si>
  <si>
    <t>Movimientos Fecha desde 01/09/2025 Fecha Hasta 30/09/2025</t>
  </si>
  <si>
    <t>30/09/2025 | 10:01:02</t>
  </si>
  <si>
    <t>26/09/2025</t>
  </si>
  <si>
    <t>Transferencia De Fluidra S.a., Concepto Invoice F.bp.2025.0499 2025-07-23 Payment Amt 4836.96 Eur.</t>
  </si>
  <si>
    <t>22/09/2025</t>
  </si>
  <si>
    <t>Transferencia De Fundacion Universidad De Cantabria Para El Estudio, Concepto Fra F.bp.2025.0561.</t>
  </si>
  <si>
    <t>17/09/2025</t>
  </si>
  <si>
    <t>Traspaso: Pago Fra. F.okn.2025.0851 Noatum Pagado Por Error En Bp</t>
  </si>
  <si>
    <t>Transferencia De Noatum Holdings, S.l.u., Concepto F.okn.2025.0851noatum Holdings, S.l.u..</t>
  </si>
  <si>
    <t>09/09/2025</t>
  </si>
  <si>
    <t>07/09/2025</t>
  </si>
  <si>
    <t>08/09/2025</t>
  </si>
  <si>
    <t>04/09/2025</t>
  </si>
  <si>
    <t>03/09/2025</t>
  </si>
  <si>
    <t>03/10/2025</t>
  </si>
  <si>
    <t>07/10/2025</t>
  </si>
  <si>
    <t>08/10/2025</t>
  </si>
  <si>
    <t>Transferencia A Favor De Iseazy Factory Concepto: Traspaso Liquidez A Bp Bkr De Bp Pp</t>
  </si>
  <si>
    <t>21/10/2025</t>
  </si>
  <si>
    <t>23/10/2025</t>
  </si>
  <si>
    <t>24/10/2025</t>
  </si>
  <si>
    <t>27/10/2025</t>
  </si>
  <si>
    <t>Transferencia A Favor De Iseazy Factory Concepto: Traspaso Liquidez A Bp Cx De Bp Sch</t>
  </si>
  <si>
    <t>Transferencia De Vw Bank Spain, Concepto F.bp.2025.0637.</t>
  </si>
  <si>
    <t>29/10/2025</t>
  </si>
  <si>
    <t>Transferencia A Favor De Bizpills Group Bpo Caixa Concepto: Pago Servicios Corporativos A Bpo Cx De Bp Pp</t>
  </si>
  <si>
    <t>13/11/2025 | 10:27:39</t>
  </si>
  <si>
    <t>Movimientos Fecha desde 01/10/2025 Fecha Hasta 31/10/2025</t>
  </si>
  <si>
    <t>12.689,09 EUR</t>
  </si>
  <si>
    <t>174</t>
  </si>
  <si>
    <t>Recibo Santander Vida Poliza:302401098474-000000-euroriesgo Nº Recibo 0049 1837 755 Bbkfzxl Ref. Mandato 68747253200, De</t>
  </si>
  <si>
    <t>04/11/2025</t>
  </si>
  <si>
    <t>05/11/2025</t>
  </si>
  <si>
    <t>07/11/2025</t>
  </si>
  <si>
    <t>17/11/2025</t>
  </si>
  <si>
    <t>Transferencia A Favor De Iseazy Factory Sl Concepto: Traspaso Liquidez A Bp Bkr De Bp Pp</t>
  </si>
  <si>
    <t>Transferencia De Noatum Holdings, S.l.u., Concepto F.bp.2025.0743noatum Holdings, S.l.u..</t>
  </si>
  <si>
    <t>18/11/2025</t>
  </si>
  <si>
    <t>Transferencia De Ingenieria De Sistemas Para La Defensa De Espana S, Concepto Cdscor Issrbizpills, S.l. Reff.bp.2025.0787.</t>
  </si>
  <si>
    <t>25/11/2025</t>
  </si>
  <si>
    <t>Transferencia De Glaxosmithkline Ihc Limited, Concepto Gsk F.bp.2025.0676.</t>
  </si>
  <si>
    <t>28/11/2025</t>
  </si>
  <si>
    <t>04/12/2025 | 09:42:42</t>
  </si>
  <si>
    <t>Movimientos Fecha desde 01/11/2025 Fecha Hasta 30/11/2025</t>
  </si>
  <si>
    <t>4.985,28 EUR</t>
  </si>
  <si>
    <t>6.189,01 EUR</t>
  </si>
  <si>
    <t>8.440,54 EUR</t>
  </si>
  <si>
    <t>Movimientos Fecha desde 01/12/2025 Fecha Hasta 31/12/2025</t>
  </si>
  <si>
    <t>12/01/2026 | 12:43:52</t>
  </si>
  <si>
    <t>22/12/2025</t>
  </si>
  <si>
    <t>Transferencia De Mutua Madrilena Automovilista Sociedad De Seguros, Concepto N. Factura: F.bp.2025.0977.</t>
  </si>
  <si>
    <t>16/12/2025</t>
  </si>
  <si>
    <t>15/12/2025</t>
  </si>
  <si>
    <t>12/12/2025</t>
  </si>
  <si>
    <t>Transferencia De Mutua Madrilena Automovilista Sociedad De Seguros, Concepto N. Factura: F.bp.2025.0956.</t>
  </si>
  <si>
    <t>Transferencia De Industrial Farmaceutica Cantabria S.a., Concepto Scorf.bp.2025.0680.</t>
  </si>
  <si>
    <t>10/12/2025</t>
  </si>
  <si>
    <t>07/12/2025</t>
  </si>
  <si>
    <t>05/12/2025</t>
  </si>
  <si>
    <t>04/12/2025</t>
  </si>
  <si>
    <t>Transferencia De Santander Factoring Y Confirming S.a. E.f.c., Concepto Abono Facturas Antic.(esa78374725).</t>
  </si>
  <si>
    <t>03/12/2025</t>
  </si>
  <si>
    <t>Transferencia De Mutua Madrilena Automovilista Sociedad De Seguros, Concepto N. Factura: F.bp.2025.0862.</t>
  </si>
  <si>
    <t>Transferencia De Iseazy Factory Sl, Concepto Traspaso Liquidez A Bp Bkr De Bp Pp.</t>
  </si>
  <si>
    <t>Transferencia De Almirall Limited 1 George Street, Referencia: 0049 6702 696 0342186</t>
  </si>
  <si>
    <t>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</si>
</sst>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rgb="FFE62F28"/>
      <name val="Calibri"/>
      <family val="2"/>
    </font>
    <font>
      <sz val="8"/>
      <color indexed="8"/>
      <name val="Aptos Narrow"/>
      <family val="2"/>
      <scheme val="minor"/>
    </font>
    <font>
      <sz val="8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4" fontId="4" fillId="0" borderId="0" xfId="0" applyNumberFormat="1" applyFont="1" applyAlignment="1">
      <alignment horizontal="left" vertical="top"/>
    </xf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center"/>
    </xf>
    <xf numFmtId="0" fontId="6" fillId="0" borderId="0" xfId="0" applyFont="1"/>
    <xf numFmtId="4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right" vertical="center"/>
    </xf>
    <xf numFmtId="14" fontId="7" fillId="0" borderId="0" xfId="0" applyNumberFormat="1" applyFont="1" applyAlignment="1">
      <alignment horizontal="left" vertical="top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67BCAEC-3A1F-49BC-A9F5-C934E5E1E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"/>
          <a:ext cx="144780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0EB5D71-12E9-4528-8252-AE6F07902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CECAD0A-A274-4371-9C4E-33CD80C0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740BD7F-6905-406D-8FF2-15B009970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4DC0F09-C6B7-48E1-A656-93F0B91F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42660DC-643C-4479-A653-3E7CDB24A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A401918-FDBF-4840-A094-D400FF9DD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3914456-0629-4592-8982-C658D2921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DD9CC33-FA54-4ED8-861B-5EE9D21F6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80" zoomScaleNormal="80" workbookViewId="0">
      <selection activeCell="I9" sqref="I9:I27"/>
    </sheetView>
  </sheetViews>
  <sheetFormatPr baseColWidth="10" defaultColWidth="8.88671875" defaultRowHeight="14.4" x14ac:dyDescent="0.3"/>
  <cols>
    <col min="1" max="2" width="10.5546875" customWidth="1"/>
    <col min="3" max="3" width="80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2.886718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9"/>
      <c r="B3" s="19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21" t="s">
        <v>10</v>
      </c>
      <c r="B7" s="19"/>
      <c r="C7" s="19"/>
      <c r="D7" s="19"/>
      <c r="E7" s="19"/>
      <c r="F7" s="19"/>
      <c r="G7" s="19"/>
      <c r="H7" s="19"/>
      <c r="I7" s="19"/>
      <c r="J7" s="19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x14ac:dyDescent="0.3">
      <c r="A9" s="4" t="s">
        <v>23</v>
      </c>
      <c r="B9" s="4" t="s">
        <v>23</v>
      </c>
      <c r="C9" s="3" t="s">
        <v>24</v>
      </c>
      <c r="D9" s="11">
        <v>3569.5</v>
      </c>
      <c r="E9" s="3" t="s">
        <v>25</v>
      </c>
      <c r="F9" s="1">
        <v>14690.53</v>
      </c>
      <c r="G9" s="3" t="s">
        <v>25</v>
      </c>
      <c r="H9" s="3" t="s">
        <v>26</v>
      </c>
      <c r="I9" s="3" t="s">
        <v>27</v>
      </c>
      <c r="J9" s="3" t="s">
        <v>27</v>
      </c>
      <c r="K9" s="3"/>
    </row>
    <row r="10" spans="1:12" x14ac:dyDescent="0.3">
      <c r="A10" s="4" t="s">
        <v>28</v>
      </c>
      <c r="B10" s="4" t="s">
        <v>28</v>
      </c>
      <c r="C10" s="3" t="s">
        <v>29</v>
      </c>
      <c r="D10" s="11">
        <v>3550.74</v>
      </c>
      <c r="E10" s="3" t="s">
        <v>25</v>
      </c>
      <c r="F10" s="1">
        <v>11121.03</v>
      </c>
      <c r="G10" s="3" t="s">
        <v>25</v>
      </c>
      <c r="H10" s="3" t="s">
        <v>26</v>
      </c>
      <c r="I10" s="3" t="s">
        <v>27</v>
      </c>
      <c r="J10" s="3" t="s">
        <v>27</v>
      </c>
      <c r="K10" s="3"/>
    </row>
    <row r="11" spans="1:12" x14ac:dyDescent="0.3">
      <c r="A11" s="4" t="s">
        <v>30</v>
      </c>
      <c r="B11" s="4" t="s">
        <v>30</v>
      </c>
      <c r="C11" s="3" t="s">
        <v>31</v>
      </c>
      <c r="D11" s="11">
        <v>-38000</v>
      </c>
      <c r="E11" s="3" t="s">
        <v>25</v>
      </c>
      <c r="F11" s="1">
        <v>7570.29</v>
      </c>
      <c r="G11" s="3" t="s">
        <v>25</v>
      </c>
      <c r="H11" s="3" t="s">
        <v>32</v>
      </c>
      <c r="I11" s="3" t="s">
        <v>27</v>
      </c>
      <c r="J11" s="3" t="s">
        <v>27</v>
      </c>
      <c r="K11" s="3"/>
    </row>
    <row r="12" spans="1:12" x14ac:dyDescent="0.3">
      <c r="A12" s="4" t="s">
        <v>30</v>
      </c>
      <c r="B12" s="4" t="s">
        <v>30</v>
      </c>
      <c r="C12" s="3" t="s">
        <v>33</v>
      </c>
      <c r="D12" s="11">
        <v>26000</v>
      </c>
      <c r="E12" s="3" t="s">
        <v>25</v>
      </c>
      <c r="F12" s="1">
        <v>45570.29</v>
      </c>
      <c r="G12" s="3" t="s">
        <v>25</v>
      </c>
      <c r="H12" s="3" t="s">
        <v>26</v>
      </c>
      <c r="I12" s="3" t="s">
        <v>27</v>
      </c>
      <c r="J12" s="3" t="s">
        <v>27</v>
      </c>
      <c r="K12" s="3"/>
    </row>
    <row r="13" spans="1:12" x14ac:dyDescent="0.3">
      <c r="A13" s="4" t="s">
        <v>34</v>
      </c>
      <c r="B13" s="4" t="s">
        <v>35</v>
      </c>
      <c r="C13" s="3" t="s">
        <v>36</v>
      </c>
      <c r="D13" s="11">
        <v>-441.97</v>
      </c>
      <c r="E13" s="3" t="s">
        <v>25</v>
      </c>
      <c r="F13" s="1">
        <v>19570.29</v>
      </c>
      <c r="G13" s="3" t="s">
        <v>25</v>
      </c>
      <c r="H13" s="3" t="s">
        <v>37</v>
      </c>
      <c r="I13" s="3" t="s">
        <v>38</v>
      </c>
      <c r="J13" s="3" t="s">
        <v>27</v>
      </c>
      <c r="K13" s="3"/>
    </row>
    <row r="14" spans="1:12" x14ac:dyDescent="0.3">
      <c r="A14" s="4" t="s">
        <v>39</v>
      </c>
      <c r="B14" s="4" t="s">
        <v>39</v>
      </c>
      <c r="C14" s="3" t="s">
        <v>40</v>
      </c>
      <c r="D14" s="11">
        <v>-5074.74</v>
      </c>
      <c r="E14" s="3" t="s">
        <v>25</v>
      </c>
      <c r="F14" s="1">
        <v>20012.259999999998</v>
      </c>
      <c r="G14" s="3" t="s">
        <v>25</v>
      </c>
      <c r="H14" s="3" t="s">
        <v>32</v>
      </c>
      <c r="I14" s="3" t="s">
        <v>27</v>
      </c>
      <c r="J14" s="3" t="s">
        <v>27</v>
      </c>
      <c r="K14" s="3"/>
    </row>
    <row r="15" spans="1:12" x14ac:dyDescent="0.3">
      <c r="A15" s="4" t="s">
        <v>39</v>
      </c>
      <c r="B15" s="4" t="s">
        <v>39</v>
      </c>
      <c r="C15" s="3" t="s">
        <v>41</v>
      </c>
      <c r="D15" s="11">
        <v>-80000</v>
      </c>
      <c r="E15" s="3" t="s">
        <v>25</v>
      </c>
      <c r="F15" s="1">
        <v>25087</v>
      </c>
      <c r="G15" s="3" t="s">
        <v>25</v>
      </c>
      <c r="H15" s="3" t="s">
        <v>32</v>
      </c>
      <c r="I15" s="3" t="s">
        <v>27</v>
      </c>
      <c r="J15" s="3" t="s">
        <v>27</v>
      </c>
      <c r="K15" s="3"/>
    </row>
    <row r="16" spans="1:12" x14ac:dyDescent="0.3">
      <c r="A16" s="4" t="s">
        <v>42</v>
      </c>
      <c r="B16" s="4" t="s">
        <v>42</v>
      </c>
      <c r="C16" s="3" t="s">
        <v>43</v>
      </c>
      <c r="D16" s="11">
        <v>14700.59</v>
      </c>
      <c r="E16" s="3" t="s">
        <v>25</v>
      </c>
      <c r="F16" s="1">
        <v>105087</v>
      </c>
      <c r="G16" s="3" t="s">
        <v>25</v>
      </c>
      <c r="H16" s="3" t="s">
        <v>26</v>
      </c>
      <c r="I16" s="3" t="s">
        <v>27</v>
      </c>
      <c r="J16" s="3" t="s">
        <v>27</v>
      </c>
      <c r="K16" s="3"/>
    </row>
    <row r="17" spans="1:11" x14ac:dyDescent="0.3">
      <c r="A17" s="4" t="s">
        <v>44</v>
      </c>
      <c r="B17" s="4" t="s">
        <v>44</v>
      </c>
      <c r="C17" s="3" t="s">
        <v>45</v>
      </c>
      <c r="D17" s="11">
        <v>21525.9</v>
      </c>
      <c r="E17" s="3" t="s">
        <v>25</v>
      </c>
      <c r="F17" s="1">
        <v>90386.41</v>
      </c>
      <c r="G17" s="3" t="s">
        <v>25</v>
      </c>
      <c r="H17" s="3" t="s">
        <v>26</v>
      </c>
      <c r="I17" s="3" t="s">
        <v>27</v>
      </c>
      <c r="J17" s="3" t="s">
        <v>27</v>
      </c>
      <c r="K17" s="3"/>
    </row>
    <row r="18" spans="1:11" x14ac:dyDescent="0.3">
      <c r="A18" s="4" t="s">
        <v>46</v>
      </c>
      <c r="B18" s="4" t="s">
        <v>46</v>
      </c>
      <c r="C18" s="3" t="s">
        <v>47</v>
      </c>
      <c r="D18" s="11">
        <v>5074.74</v>
      </c>
      <c r="E18" s="3" t="s">
        <v>25</v>
      </c>
      <c r="F18" s="1">
        <v>68860.509999999995</v>
      </c>
      <c r="G18" s="3" t="s">
        <v>25</v>
      </c>
      <c r="H18" s="3" t="s">
        <v>26</v>
      </c>
      <c r="I18" s="3" t="s">
        <v>27</v>
      </c>
      <c r="J18" s="3" t="s">
        <v>27</v>
      </c>
      <c r="K18" s="3"/>
    </row>
    <row r="19" spans="1:11" x14ac:dyDescent="0.3">
      <c r="A19" s="4" t="s">
        <v>46</v>
      </c>
      <c r="B19" s="4" t="s">
        <v>46</v>
      </c>
      <c r="C19" s="3" t="s">
        <v>47</v>
      </c>
      <c r="D19" s="11">
        <v>5074.74</v>
      </c>
      <c r="E19" s="3" t="s">
        <v>25</v>
      </c>
      <c r="F19" s="1">
        <v>63785.77</v>
      </c>
      <c r="G19" s="3" t="s">
        <v>25</v>
      </c>
      <c r="H19" s="3" t="s">
        <v>26</v>
      </c>
      <c r="I19" s="3" t="s">
        <v>92</v>
      </c>
      <c r="J19" s="3" t="s">
        <v>27</v>
      </c>
      <c r="K19" s="3"/>
    </row>
    <row r="20" spans="1:11" x14ac:dyDescent="0.3">
      <c r="A20" s="4" t="s">
        <v>46</v>
      </c>
      <c r="B20" s="4" t="s">
        <v>46</v>
      </c>
      <c r="C20" s="3" t="s">
        <v>48</v>
      </c>
      <c r="D20" s="11">
        <v>4510.88</v>
      </c>
      <c r="E20" s="3" t="s">
        <v>25</v>
      </c>
      <c r="F20" s="1">
        <v>58711.03</v>
      </c>
      <c r="G20" s="3" t="s">
        <v>25</v>
      </c>
      <c r="H20" s="3" t="s">
        <v>26</v>
      </c>
      <c r="I20" s="3" t="s">
        <v>27</v>
      </c>
      <c r="J20" s="3" t="s">
        <v>27</v>
      </c>
      <c r="K20" s="3"/>
    </row>
    <row r="21" spans="1:11" x14ac:dyDescent="0.3">
      <c r="A21" s="4" t="s">
        <v>49</v>
      </c>
      <c r="B21" s="4" t="s">
        <v>49</v>
      </c>
      <c r="C21" s="3" t="s">
        <v>50</v>
      </c>
      <c r="D21" s="11">
        <v>3012.9</v>
      </c>
      <c r="E21" s="3" t="s">
        <v>25</v>
      </c>
      <c r="F21" s="1">
        <v>54200.15</v>
      </c>
      <c r="G21" s="3" t="s">
        <v>25</v>
      </c>
      <c r="H21" s="3" t="s">
        <v>26</v>
      </c>
      <c r="I21" s="3" t="s">
        <v>27</v>
      </c>
      <c r="J21" s="3" t="s">
        <v>27</v>
      </c>
      <c r="K21" s="3"/>
    </row>
    <row r="22" spans="1:11" x14ac:dyDescent="0.3">
      <c r="A22" s="4" t="s">
        <v>51</v>
      </c>
      <c r="B22" s="4" t="s">
        <v>51</v>
      </c>
      <c r="C22" s="3" t="s">
        <v>52</v>
      </c>
      <c r="D22" s="11">
        <v>11390.94</v>
      </c>
      <c r="E22" s="3" t="s">
        <v>25</v>
      </c>
      <c r="F22" s="1">
        <v>51187.25</v>
      </c>
      <c r="G22" s="3" t="s">
        <v>25</v>
      </c>
      <c r="H22" s="3" t="s">
        <v>26</v>
      </c>
      <c r="I22" s="3" t="s">
        <v>27</v>
      </c>
      <c r="J22" s="3" t="s">
        <v>27</v>
      </c>
      <c r="K22" s="3"/>
    </row>
    <row r="23" spans="1:11" x14ac:dyDescent="0.3">
      <c r="A23" s="4" t="s">
        <v>51</v>
      </c>
      <c r="B23" s="4" t="s">
        <v>53</v>
      </c>
      <c r="C23" s="3" t="s">
        <v>54</v>
      </c>
      <c r="D23" s="11">
        <v>-5775.85</v>
      </c>
      <c r="E23" s="3" t="s">
        <v>25</v>
      </c>
      <c r="F23" s="1">
        <v>39796.31</v>
      </c>
      <c r="G23" s="3" t="s">
        <v>25</v>
      </c>
      <c r="H23" s="3" t="s">
        <v>37</v>
      </c>
      <c r="I23" s="3" t="s">
        <v>27</v>
      </c>
      <c r="J23" s="3" t="s">
        <v>27</v>
      </c>
      <c r="K23" s="3"/>
    </row>
    <row r="24" spans="1:11" x14ac:dyDescent="0.3">
      <c r="A24" s="4" t="s">
        <v>51</v>
      </c>
      <c r="B24" s="4" t="s">
        <v>55</v>
      </c>
      <c r="C24" s="3" t="s">
        <v>56</v>
      </c>
      <c r="D24" s="11">
        <v>-95.23</v>
      </c>
      <c r="E24" s="3" t="s">
        <v>25</v>
      </c>
      <c r="F24" s="1">
        <v>45572.160000000003</v>
      </c>
      <c r="G24" s="3" t="s">
        <v>25</v>
      </c>
      <c r="H24" s="3" t="s">
        <v>37</v>
      </c>
      <c r="I24" s="3" t="s">
        <v>57</v>
      </c>
      <c r="J24" s="3" t="s">
        <v>27</v>
      </c>
      <c r="K24" s="3"/>
    </row>
    <row r="25" spans="1:11" x14ac:dyDescent="0.3">
      <c r="A25" s="4" t="s">
        <v>53</v>
      </c>
      <c r="B25" s="4" t="s">
        <v>53</v>
      </c>
      <c r="C25" s="3" t="s">
        <v>58</v>
      </c>
      <c r="D25" s="11">
        <v>-2000</v>
      </c>
      <c r="E25" s="3" t="s">
        <v>25</v>
      </c>
      <c r="F25" s="1">
        <v>45667.39</v>
      </c>
      <c r="G25" s="3" t="s">
        <v>25</v>
      </c>
      <c r="H25" s="3" t="s">
        <v>32</v>
      </c>
      <c r="I25" s="3" t="s">
        <v>27</v>
      </c>
      <c r="J25" s="3" t="s">
        <v>27</v>
      </c>
      <c r="K25" s="3"/>
    </row>
    <row r="26" spans="1:11" x14ac:dyDescent="0.3">
      <c r="A26" s="4" t="s">
        <v>53</v>
      </c>
      <c r="B26" s="4" t="s">
        <v>53</v>
      </c>
      <c r="C26" s="3" t="s">
        <v>59</v>
      </c>
      <c r="D26" s="11">
        <v>3529.17</v>
      </c>
      <c r="E26" s="3" t="s">
        <v>25</v>
      </c>
      <c r="F26" s="1">
        <v>47667.39</v>
      </c>
      <c r="G26" s="3" t="s">
        <v>25</v>
      </c>
      <c r="H26" s="3" t="s">
        <v>26</v>
      </c>
      <c r="I26" s="3" t="s">
        <v>27</v>
      </c>
      <c r="J26" s="3" t="s">
        <v>27</v>
      </c>
      <c r="K26" s="3"/>
    </row>
    <row r="27" spans="1:11" x14ac:dyDescent="0.3">
      <c r="A27" s="4" t="s">
        <v>53</v>
      </c>
      <c r="B27" s="4" t="s">
        <v>53</v>
      </c>
      <c r="C27" s="3" t="s">
        <v>60</v>
      </c>
      <c r="D27" s="11">
        <v>17532.59</v>
      </c>
      <c r="E27" s="3" t="s">
        <v>25</v>
      </c>
      <c r="F27" s="1">
        <v>44138.22</v>
      </c>
      <c r="G27" s="3" t="s">
        <v>25</v>
      </c>
      <c r="H27" s="3" t="s">
        <v>26</v>
      </c>
      <c r="I27" s="3" t="s">
        <v>27</v>
      </c>
      <c r="J27" s="3" t="s">
        <v>27</v>
      </c>
      <c r="K27" s="3"/>
    </row>
    <row r="28" spans="1:11" x14ac:dyDescent="0.3">
      <c r="D28" s="12"/>
    </row>
  </sheetData>
  <autoFilter ref="A8:L27" xr:uid="{00000000-0001-0000-0000-000000000000}"/>
  <mergeCells count="3">
    <mergeCell ref="A1:B5"/>
    <mergeCell ref="A7:C7"/>
    <mergeCell ref="D7:J7"/>
  </mergeCells>
  <conditionalFormatting sqref="D9:D27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47A9-2188-4F77-B646-B7848EEAA78B}">
  <dimension ref="A1:L14"/>
  <sheetViews>
    <sheetView workbookViewId="0">
      <selection activeCell="I9" sqref="I9:J14"/>
    </sheetView>
  </sheetViews>
  <sheetFormatPr baseColWidth="10" defaultRowHeight="14.4" x14ac:dyDescent="0.3"/>
  <cols>
    <col min="3" max="3" width="73.21875" bestFit="1" customWidth="1"/>
  </cols>
  <sheetData>
    <row r="1" spans="1:12" x14ac:dyDescent="0.3">
      <c r="A1" s="19"/>
      <c r="B1" s="19"/>
    </row>
    <row r="2" spans="1:12" x14ac:dyDescent="0.3">
      <c r="A2" s="19"/>
      <c r="B2" s="19"/>
      <c r="C2" s="6" t="s">
        <v>0</v>
      </c>
      <c r="D2" s="6" t="s">
        <v>1</v>
      </c>
      <c r="E2" s="6" t="s">
        <v>2</v>
      </c>
    </row>
    <row r="3" spans="1:12" x14ac:dyDescent="0.3">
      <c r="A3" s="19"/>
      <c r="B3" s="19"/>
      <c r="C3" s="7" t="s">
        <v>3</v>
      </c>
      <c r="D3" s="7" t="s">
        <v>61</v>
      </c>
      <c r="E3" s="7" t="s">
        <v>61</v>
      </c>
    </row>
    <row r="4" spans="1:12" x14ac:dyDescent="0.3">
      <c r="A4" s="19"/>
      <c r="B4" s="19"/>
    </row>
    <row r="5" spans="1:12" x14ac:dyDescent="0.3">
      <c r="A5" s="19"/>
      <c r="B5" s="19"/>
      <c r="C5" s="6" t="s">
        <v>5</v>
      </c>
      <c r="D5" s="6" t="s">
        <v>6</v>
      </c>
      <c r="E5" s="6" t="s">
        <v>7</v>
      </c>
    </row>
    <row r="6" spans="1:12" x14ac:dyDescent="0.3">
      <c r="C6" s="7" t="s">
        <v>8</v>
      </c>
      <c r="D6" s="7" t="s">
        <v>9</v>
      </c>
      <c r="E6" s="7" t="s">
        <v>61</v>
      </c>
    </row>
    <row r="7" spans="1:12" x14ac:dyDescent="0.3">
      <c r="A7" s="22" t="s">
        <v>62</v>
      </c>
      <c r="B7" s="19"/>
      <c r="C7" s="19"/>
      <c r="D7" s="19"/>
      <c r="E7" s="19"/>
      <c r="F7" s="19"/>
      <c r="G7" s="19"/>
      <c r="H7" s="19"/>
      <c r="I7" s="19"/>
      <c r="J7" s="19"/>
      <c r="K7" s="7" t="s">
        <v>63</v>
      </c>
    </row>
    <row r="8" spans="1:12" x14ac:dyDescent="0.3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16</v>
      </c>
      <c r="H8" s="8" t="s">
        <v>18</v>
      </c>
      <c r="I8" s="8" t="s">
        <v>19</v>
      </c>
      <c r="J8" s="8" t="s">
        <v>20</v>
      </c>
      <c r="K8" s="8" t="s">
        <v>21</v>
      </c>
      <c r="L8" s="8" t="s">
        <v>22</v>
      </c>
    </row>
    <row r="9" spans="1:12" x14ac:dyDescent="0.3">
      <c r="A9" s="9" t="s">
        <v>64</v>
      </c>
      <c r="B9" s="9" t="s">
        <v>64</v>
      </c>
      <c r="C9" s="7" t="s">
        <v>65</v>
      </c>
      <c r="D9" s="11">
        <v>-1033.53</v>
      </c>
      <c r="E9" s="7" t="s">
        <v>25</v>
      </c>
      <c r="F9" s="10">
        <v>13657</v>
      </c>
      <c r="G9" s="7" t="s">
        <v>25</v>
      </c>
      <c r="H9" s="7" t="s">
        <v>66</v>
      </c>
      <c r="I9" s="7" t="s">
        <v>67</v>
      </c>
      <c r="J9" s="7"/>
    </row>
    <row r="10" spans="1:12" x14ac:dyDescent="0.3">
      <c r="A10" s="9" t="s">
        <v>68</v>
      </c>
      <c r="B10" s="9" t="s">
        <v>69</v>
      </c>
      <c r="C10" s="7" t="s">
        <v>70</v>
      </c>
      <c r="D10" s="11">
        <v>-142.5</v>
      </c>
      <c r="E10" s="7" t="s">
        <v>25</v>
      </c>
      <c r="F10" s="10">
        <v>13514.5</v>
      </c>
      <c r="G10" s="7" t="s">
        <v>25</v>
      </c>
      <c r="H10" s="7" t="s">
        <v>37</v>
      </c>
      <c r="I10" s="7" t="s">
        <v>27</v>
      </c>
      <c r="J10" s="7"/>
    </row>
    <row r="11" spans="1:12" x14ac:dyDescent="0.3">
      <c r="A11" s="9" t="s">
        <v>71</v>
      </c>
      <c r="B11" s="9" t="s">
        <v>71</v>
      </c>
      <c r="C11" s="7" t="s">
        <v>59</v>
      </c>
      <c r="D11" s="11">
        <v>10498.77</v>
      </c>
      <c r="E11" s="7" t="s">
        <v>25</v>
      </c>
      <c r="F11" s="10">
        <v>18237.419999999998</v>
      </c>
      <c r="G11" s="7" t="s">
        <v>25</v>
      </c>
      <c r="H11" s="7" t="s">
        <v>26</v>
      </c>
      <c r="I11" s="7" t="s">
        <v>27</v>
      </c>
      <c r="J11" s="7"/>
    </row>
    <row r="12" spans="1:12" x14ac:dyDescent="0.3">
      <c r="A12" s="9" t="s">
        <v>71</v>
      </c>
      <c r="B12" s="9" t="s">
        <v>71</v>
      </c>
      <c r="C12" s="7" t="s">
        <v>54</v>
      </c>
      <c r="D12" s="11">
        <v>-5775.85</v>
      </c>
      <c r="E12" s="7" t="s">
        <v>25</v>
      </c>
      <c r="F12" s="10">
        <v>7738.65</v>
      </c>
      <c r="G12" s="7" t="s">
        <v>25</v>
      </c>
      <c r="H12" s="7" t="s">
        <v>37</v>
      </c>
      <c r="I12" s="7" t="s">
        <v>27</v>
      </c>
      <c r="J12" s="7"/>
    </row>
    <row r="13" spans="1:12" x14ac:dyDescent="0.3">
      <c r="A13" s="9" t="s">
        <v>72</v>
      </c>
      <c r="B13" s="9" t="s">
        <v>72</v>
      </c>
      <c r="C13" s="7" t="s">
        <v>73</v>
      </c>
      <c r="D13" s="11">
        <v>4462.4799999999996</v>
      </c>
      <c r="E13" s="7" t="s">
        <v>25</v>
      </c>
      <c r="F13" s="10">
        <v>22699.9</v>
      </c>
      <c r="G13" s="7" t="s">
        <v>25</v>
      </c>
      <c r="H13" s="7" t="s">
        <v>26</v>
      </c>
      <c r="I13" s="7" t="s">
        <v>27</v>
      </c>
      <c r="J13" s="7"/>
    </row>
    <row r="14" spans="1:12" x14ac:dyDescent="0.3">
      <c r="A14" s="9" t="s">
        <v>74</v>
      </c>
      <c r="B14" s="9" t="s">
        <v>74</v>
      </c>
      <c r="C14" s="7" t="s">
        <v>52</v>
      </c>
      <c r="D14" s="11">
        <v>6127.44</v>
      </c>
      <c r="E14" s="7" t="s">
        <v>25</v>
      </c>
      <c r="F14" s="10">
        <v>28827.34</v>
      </c>
      <c r="G14" s="7" t="s">
        <v>25</v>
      </c>
      <c r="H14" s="7" t="s">
        <v>26</v>
      </c>
      <c r="I14" s="7" t="s">
        <v>27</v>
      </c>
      <c r="J14" s="7"/>
    </row>
  </sheetData>
  <mergeCells count="3">
    <mergeCell ref="A1:B5"/>
    <mergeCell ref="A7:C7"/>
    <mergeCell ref="D7:J7"/>
  </mergeCells>
  <conditionalFormatting sqref="D9:D14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C852-4B18-4D66-9102-4BBBB8FE050C}">
  <dimension ref="A1:L20"/>
  <sheetViews>
    <sheetView workbookViewId="0">
      <selection activeCell="J13" sqref="J13:J18"/>
    </sheetView>
  </sheetViews>
  <sheetFormatPr baseColWidth="10" defaultColWidth="8.88671875" defaultRowHeight="14.4" x14ac:dyDescent="0.3"/>
  <cols>
    <col min="1" max="2" width="10.5546875" customWidth="1"/>
    <col min="3" max="3" width="86.66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6" t="s">
        <v>0</v>
      </c>
      <c r="D2" s="6" t="s">
        <v>1</v>
      </c>
      <c r="E2" s="6" t="s">
        <v>2</v>
      </c>
    </row>
    <row r="3" spans="1:12" ht="16.05" customHeight="1" x14ac:dyDescent="0.3">
      <c r="A3" s="19"/>
      <c r="B3" s="19"/>
      <c r="C3" s="7" t="s">
        <v>3</v>
      </c>
      <c r="D3" s="7" t="s">
        <v>75</v>
      </c>
      <c r="E3" s="7" t="s">
        <v>75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6" t="s">
        <v>5</v>
      </c>
      <c r="D5" s="6" t="s">
        <v>6</v>
      </c>
      <c r="E5" s="6" t="s">
        <v>7</v>
      </c>
    </row>
    <row r="6" spans="1:12" ht="15" customHeight="1" x14ac:dyDescent="0.3">
      <c r="C6" s="7" t="s">
        <v>8</v>
      </c>
      <c r="D6" s="7" t="s">
        <v>9</v>
      </c>
      <c r="E6" s="7" t="s">
        <v>75</v>
      </c>
    </row>
    <row r="7" spans="1:12" ht="13.95" customHeight="1" x14ac:dyDescent="0.3">
      <c r="A7" s="22" t="s">
        <v>76</v>
      </c>
      <c r="B7" s="19"/>
      <c r="C7" s="19"/>
      <c r="D7" s="19"/>
      <c r="E7" s="19"/>
      <c r="F7" s="19"/>
      <c r="G7" s="19"/>
      <c r="H7" s="19"/>
      <c r="I7" s="19"/>
      <c r="J7" s="19"/>
      <c r="K7" s="7" t="s">
        <v>77</v>
      </c>
    </row>
    <row r="8" spans="1:12" ht="19.05" customHeight="1" x14ac:dyDescent="0.3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16</v>
      </c>
      <c r="H8" s="8" t="s">
        <v>18</v>
      </c>
      <c r="I8" s="8" t="s">
        <v>19</v>
      </c>
      <c r="J8" s="8" t="s">
        <v>20</v>
      </c>
      <c r="K8" s="8" t="s">
        <v>21</v>
      </c>
      <c r="L8" s="8" t="s">
        <v>22</v>
      </c>
    </row>
    <row r="9" spans="1:12" x14ac:dyDescent="0.3">
      <c r="A9" s="9" t="s">
        <v>78</v>
      </c>
      <c r="B9" s="9" t="s">
        <v>78</v>
      </c>
      <c r="C9" s="7" t="s">
        <v>41</v>
      </c>
      <c r="D9" s="11">
        <v>-50000</v>
      </c>
      <c r="E9" s="7" t="s">
        <v>25</v>
      </c>
      <c r="F9" s="10">
        <v>12990.81</v>
      </c>
      <c r="G9" s="7" t="s">
        <v>25</v>
      </c>
      <c r="H9" s="7" t="s">
        <v>32</v>
      </c>
      <c r="I9" s="7"/>
      <c r="J9" s="7" t="s">
        <v>27</v>
      </c>
      <c r="K9" s="7" t="s">
        <v>27</v>
      </c>
      <c r="L9" s="7"/>
    </row>
    <row r="10" spans="1:12" x14ac:dyDescent="0.3">
      <c r="A10" s="9" t="s">
        <v>78</v>
      </c>
      <c r="B10" s="9" t="s">
        <v>78</v>
      </c>
      <c r="C10" s="7" t="s">
        <v>33</v>
      </c>
      <c r="D10" s="11">
        <v>20000</v>
      </c>
      <c r="E10" s="7" t="s">
        <v>25</v>
      </c>
      <c r="F10" s="10">
        <v>62990.81</v>
      </c>
      <c r="G10" s="7" t="s">
        <v>25</v>
      </c>
      <c r="H10" s="7" t="s">
        <v>26</v>
      </c>
      <c r="I10" s="7"/>
      <c r="J10" s="7" t="s">
        <v>27</v>
      </c>
      <c r="K10" s="7" t="s">
        <v>27</v>
      </c>
      <c r="L10" s="7"/>
    </row>
    <row r="11" spans="1:12" x14ac:dyDescent="0.3">
      <c r="A11" s="9" t="s">
        <v>79</v>
      </c>
      <c r="B11" s="9" t="s">
        <v>79</v>
      </c>
      <c r="C11" s="7" t="s">
        <v>80</v>
      </c>
      <c r="D11" s="11">
        <v>-10000</v>
      </c>
      <c r="E11" s="7" t="s">
        <v>25</v>
      </c>
      <c r="F11" s="10">
        <v>42990.81</v>
      </c>
      <c r="G11" s="7" t="s">
        <v>25</v>
      </c>
      <c r="H11" s="7" t="s">
        <v>32</v>
      </c>
      <c r="I11" s="7"/>
      <c r="J11" s="7" t="s">
        <v>27</v>
      </c>
      <c r="K11" s="7" t="s">
        <v>27</v>
      </c>
      <c r="L11" s="7"/>
    </row>
    <row r="12" spans="1:12" x14ac:dyDescent="0.3">
      <c r="A12" s="9" t="s">
        <v>79</v>
      </c>
      <c r="B12" s="9" t="s">
        <v>79</v>
      </c>
      <c r="C12" s="7" t="s">
        <v>81</v>
      </c>
      <c r="D12" s="11">
        <v>-50000</v>
      </c>
      <c r="E12" s="7" t="s">
        <v>25</v>
      </c>
      <c r="F12" s="10">
        <v>52990.81</v>
      </c>
      <c r="G12" s="7" t="s">
        <v>25</v>
      </c>
      <c r="H12" s="7" t="s">
        <v>32</v>
      </c>
      <c r="I12" s="7"/>
      <c r="J12" s="7" t="s">
        <v>27</v>
      </c>
      <c r="K12" s="7" t="s">
        <v>27</v>
      </c>
      <c r="L12" s="7"/>
    </row>
    <row r="13" spans="1:12" x14ac:dyDescent="0.3">
      <c r="A13" s="9" t="s">
        <v>79</v>
      </c>
      <c r="B13" s="9" t="s">
        <v>79</v>
      </c>
      <c r="C13" s="7" t="s">
        <v>82</v>
      </c>
      <c r="D13" s="11">
        <v>12100</v>
      </c>
      <c r="E13" s="7" t="s">
        <v>25</v>
      </c>
      <c r="F13" s="10">
        <v>102990.81</v>
      </c>
      <c r="G13" s="7" t="s">
        <v>25</v>
      </c>
      <c r="H13" s="7" t="s">
        <v>26</v>
      </c>
      <c r="I13" s="7"/>
      <c r="J13" s="7" t="s">
        <v>27</v>
      </c>
      <c r="K13" s="7"/>
    </row>
    <row r="14" spans="1:12" x14ac:dyDescent="0.3">
      <c r="A14" s="9" t="s">
        <v>79</v>
      </c>
      <c r="B14" s="9" t="s">
        <v>79</v>
      </c>
      <c r="C14" s="7" t="s">
        <v>83</v>
      </c>
      <c r="D14" s="11">
        <v>-130.88999999999999</v>
      </c>
      <c r="E14" s="7" t="s">
        <v>25</v>
      </c>
      <c r="F14" s="10">
        <v>90890.81</v>
      </c>
      <c r="G14" s="7" t="s">
        <v>25</v>
      </c>
      <c r="H14" s="7" t="s">
        <v>66</v>
      </c>
      <c r="I14" s="7"/>
      <c r="J14" s="7" t="s">
        <v>27</v>
      </c>
      <c r="K14" s="7"/>
    </row>
    <row r="15" spans="1:12" x14ac:dyDescent="0.3">
      <c r="A15" s="9" t="s">
        <v>84</v>
      </c>
      <c r="B15" s="9" t="s">
        <v>84</v>
      </c>
      <c r="C15" s="7" t="s">
        <v>85</v>
      </c>
      <c r="D15" s="11">
        <v>4513.3</v>
      </c>
      <c r="E15" s="7" t="s">
        <v>25</v>
      </c>
      <c r="F15" s="10">
        <v>91021.7</v>
      </c>
      <c r="G15" s="7" t="s">
        <v>25</v>
      </c>
      <c r="H15" s="7" t="s">
        <v>26</v>
      </c>
      <c r="I15" s="7" t="s">
        <v>86</v>
      </c>
      <c r="J15" s="7" t="s">
        <v>27</v>
      </c>
      <c r="K15" s="7"/>
    </row>
    <row r="16" spans="1:12" x14ac:dyDescent="0.3">
      <c r="A16" s="9" t="s">
        <v>87</v>
      </c>
      <c r="B16" s="9" t="s">
        <v>87</v>
      </c>
      <c r="C16" s="7" t="s">
        <v>59</v>
      </c>
      <c r="D16" s="11">
        <v>3529.17</v>
      </c>
      <c r="E16" s="7" t="s">
        <v>25</v>
      </c>
      <c r="F16" s="10">
        <v>86508.4</v>
      </c>
      <c r="G16" s="7" t="s">
        <v>25</v>
      </c>
      <c r="H16" s="7" t="s">
        <v>26</v>
      </c>
      <c r="I16" s="7"/>
      <c r="J16" s="7" t="s">
        <v>27</v>
      </c>
      <c r="K16" s="7"/>
    </row>
    <row r="17" spans="1:12" x14ac:dyDescent="0.3">
      <c r="A17" s="9" t="s">
        <v>87</v>
      </c>
      <c r="B17" s="9" t="s">
        <v>87</v>
      </c>
      <c r="C17" s="7" t="s">
        <v>88</v>
      </c>
      <c r="D17" s="11">
        <v>60029.73</v>
      </c>
      <c r="E17" s="7" t="s">
        <v>25</v>
      </c>
      <c r="F17" s="10">
        <v>82979.23</v>
      </c>
      <c r="G17" s="7" t="s">
        <v>25</v>
      </c>
      <c r="H17" s="7" t="s">
        <v>26</v>
      </c>
      <c r="I17" s="7"/>
      <c r="J17" s="7" t="s">
        <v>27</v>
      </c>
      <c r="K17" s="7"/>
    </row>
    <row r="18" spans="1:12" x14ac:dyDescent="0.3">
      <c r="A18" s="9" t="s">
        <v>87</v>
      </c>
      <c r="B18" s="9" t="s">
        <v>87</v>
      </c>
      <c r="C18" s="7" t="s">
        <v>54</v>
      </c>
      <c r="D18" s="11">
        <v>-5775.85</v>
      </c>
      <c r="E18" s="7" t="s">
        <v>25</v>
      </c>
      <c r="F18" s="10">
        <v>22949.5</v>
      </c>
      <c r="G18" s="7" t="s">
        <v>25</v>
      </c>
      <c r="H18" s="7" t="s">
        <v>37</v>
      </c>
      <c r="I18" s="7"/>
      <c r="J18" s="7" t="s">
        <v>27</v>
      </c>
      <c r="K18" s="7"/>
    </row>
    <row r="19" spans="1:12" x14ac:dyDescent="0.3">
      <c r="A19" s="9" t="s">
        <v>89</v>
      </c>
      <c r="B19" s="9" t="s">
        <v>90</v>
      </c>
      <c r="C19" s="7" t="s">
        <v>91</v>
      </c>
      <c r="D19" s="11">
        <v>-90</v>
      </c>
      <c r="E19" s="7" t="s">
        <v>25</v>
      </c>
      <c r="F19" s="10">
        <v>28725.35</v>
      </c>
      <c r="G19" s="7" t="s">
        <v>25</v>
      </c>
      <c r="H19" s="7" t="s">
        <v>37</v>
      </c>
      <c r="I19" s="7"/>
      <c r="J19" s="7" t="s">
        <v>27</v>
      </c>
      <c r="K19" s="7" t="s">
        <v>27</v>
      </c>
      <c r="L19" s="7"/>
    </row>
    <row r="20" spans="1:12" x14ac:dyDescent="0.3">
      <c r="A20" s="9" t="s">
        <v>90</v>
      </c>
      <c r="B20" s="9" t="s">
        <v>90</v>
      </c>
      <c r="C20" s="7" t="s">
        <v>65</v>
      </c>
      <c r="D20" s="11">
        <v>-11.99</v>
      </c>
      <c r="E20" s="7" t="s">
        <v>25</v>
      </c>
      <c r="F20" s="10">
        <v>28815.35</v>
      </c>
      <c r="G20" s="7" t="s">
        <v>25</v>
      </c>
      <c r="H20" s="7" t="s">
        <v>66</v>
      </c>
      <c r="I20" s="7"/>
      <c r="J20" s="7" t="s">
        <v>27</v>
      </c>
      <c r="K20" s="7" t="s">
        <v>67</v>
      </c>
      <c r="L20" s="7"/>
    </row>
  </sheetData>
  <autoFilter ref="A8:L20" xr:uid="{9CF7C852-4B18-4D66-9102-4BBBB8FE050C}"/>
  <mergeCells count="3">
    <mergeCell ref="A1:B5"/>
    <mergeCell ref="A7:C7"/>
    <mergeCell ref="D7:J7"/>
  </mergeCells>
  <conditionalFormatting sqref="D9:D20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9435-C918-400B-809C-66B579775ACB}">
  <dimension ref="A1:L12"/>
  <sheetViews>
    <sheetView workbookViewId="0">
      <selection activeCell="I2" sqref="I2:J12"/>
    </sheetView>
  </sheetViews>
  <sheetFormatPr baseColWidth="10" defaultColWidth="8.88671875" defaultRowHeight="14.4" x14ac:dyDescent="0.3"/>
  <cols>
    <col min="1" max="2" width="10.5546875" customWidth="1"/>
    <col min="3" max="3" width="73.21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19.05" customHeight="1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16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</row>
    <row r="2" spans="1:12" x14ac:dyDescent="0.3">
      <c r="A2" s="9" t="s">
        <v>108</v>
      </c>
      <c r="B2" s="9" t="s">
        <v>108</v>
      </c>
      <c r="C2" s="7" t="s">
        <v>109</v>
      </c>
      <c r="D2" s="13">
        <v>16879.5</v>
      </c>
      <c r="E2" s="7" t="s">
        <v>25</v>
      </c>
      <c r="F2" s="10">
        <v>27313.88</v>
      </c>
      <c r="G2" s="7" t="s">
        <v>25</v>
      </c>
      <c r="H2" s="7" t="s">
        <v>26</v>
      </c>
      <c r="I2" s="7" t="s">
        <v>27</v>
      </c>
      <c r="J2" s="7"/>
    </row>
    <row r="3" spans="1:12" x14ac:dyDescent="0.3">
      <c r="A3" s="9" t="s">
        <v>106</v>
      </c>
      <c r="B3" s="9" t="s">
        <v>106</v>
      </c>
      <c r="C3" s="7" t="s">
        <v>105</v>
      </c>
      <c r="D3" s="13">
        <v>869.99</v>
      </c>
      <c r="E3" s="7" t="s">
        <v>25</v>
      </c>
      <c r="F3" s="10">
        <v>10434.379999999999</v>
      </c>
      <c r="G3" s="7" t="s">
        <v>25</v>
      </c>
      <c r="H3" s="7" t="s">
        <v>26</v>
      </c>
      <c r="I3" s="7" t="s">
        <v>27</v>
      </c>
      <c r="J3" s="7"/>
    </row>
    <row r="4" spans="1:12" x14ac:dyDescent="0.3">
      <c r="A4" s="9" t="s">
        <v>104</v>
      </c>
      <c r="B4" s="9" t="s">
        <v>103</v>
      </c>
      <c r="C4" s="7" t="s">
        <v>36</v>
      </c>
      <c r="D4" s="13">
        <v>-441.97</v>
      </c>
      <c r="E4" s="7" t="s">
        <v>25</v>
      </c>
      <c r="F4" s="10">
        <v>9564.39</v>
      </c>
      <c r="G4" s="7" t="s">
        <v>25</v>
      </c>
      <c r="H4" s="7" t="s">
        <v>37</v>
      </c>
      <c r="I4" s="7" t="s">
        <v>27</v>
      </c>
      <c r="J4" s="7"/>
    </row>
    <row r="5" spans="1:12" x14ac:dyDescent="0.3">
      <c r="A5" s="9" t="s">
        <v>101</v>
      </c>
      <c r="B5" s="9" t="s">
        <v>101</v>
      </c>
      <c r="C5" s="7" t="s">
        <v>102</v>
      </c>
      <c r="D5" s="13">
        <v>-30000</v>
      </c>
      <c r="E5" s="7" t="s">
        <v>25</v>
      </c>
      <c r="F5" s="10">
        <v>10006.36</v>
      </c>
      <c r="G5" s="7" t="s">
        <v>25</v>
      </c>
      <c r="H5" s="7" t="s">
        <v>32</v>
      </c>
      <c r="I5" s="7" t="s">
        <v>27</v>
      </c>
      <c r="J5" s="7"/>
    </row>
    <row r="6" spans="1:12" x14ac:dyDescent="0.3">
      <c r="A6" s="9" t="s">
        <v>101</v>
      </c>
      <c r="B6" s="9" t="s">
        <v>101</v>
      </c>
      <c r="C6" s="7" t="s">
        <v>33</v>
      </c>
      <c r="D6" s="13">
        <v>24000</v>
      </c>
      <c r="E6" s="7" t="s">
        <v>25</v>
      </c>
      <c r="F6" s="10">
        <v>40006.36</v>
      </c>
      <c r="G6" s="7" t="s">
        <v>25</v>
      </c>
      <c r="H6" s="7" t="s">
        <v>26</v>
      </c>
      <c r="I6" s="7" t="s">
        <v>27</v>
      </c>
      <c r="J6" s="7"/>
    </row>
    <row r="7" spans="1:12" x14ac:dyDescent="0.3">
      <c r="A7" s="9" t="s">
        <v>101</v>
      </c>
      <c r="B7" s="9" t="s">
        <v>101</v>
      </c>
      <c r="C7" s="7" t="s">
        <v>52</v>
      </c>
      <c r="D7" s="13">
        <v>1633.5</v>
      </c>
      <c r="E7" s="7" t="s">
        <v>25</v>
      </c>
      <c r="F7" s="10">
        <v>16006.36</v>
      </c>
      <c r="G7" s="7" t="s">
        <v>25</v>
      </c>
      <c r="H7" s="7" t="s">
        <v>26</v>
      </c>
      <c r="I7" s="7" t="s">
        <v>27</v>
      </c>
      <c r="J7" s="7"/>
    </row>
    <row r="8" spans="1:12" x14ac:dyDescent="0.3">
      <c r="A8" s="9" t="s">
        <v>100</v>
      </c>
      <c r="B8" s="9" t="s">
        <v>100</v>
      </c>
      <c r="C8" s="7" t="s">
        <v>99</v>
      </c>
      <c r="D8" s="13">
        <v>3630</v>
      </c>
      <c r="E8" s="7" t="s">
        <v>25</v>
      </c>
      <c r="F8" s="10">
        <v>14372.86</v>
      </c>
      <c r="G8" s="7" t="s">
        <v>25</v>
      </c>
      <c r="H8" s="7" t="s">
        <v>26</v>
      </c>
      <c r="I8" s="7" t="s">
        <v>27</v>
      </c>
      <c r="J8" s="7"/>
    </row>
    <row r="9" spans="1:12" x14ac:dyDescent="0.3">
      <c r="A9" s="9" t="s">
        <v>97</v>
      </c>
      <c r="B9" s="9" t="s">
        <v>97</v>
      </c>
      <c r="C9" s="7" t="s">
        <v>98</v>
      </c>
      <c r="D9" s="13">
        <v>-0.28999999999999998</v>
      </c>
      <c r="E9" s="7" t="s">
        <v>25</v>
      </c>
      <c r="F9" s="10">
        <v>10742.86</v>
      </c>
      <c r="G9" s="7" t="s">
        <v>25</v>
      </c>
      <c r="H9" s="7" t="s">
        <v>95</v>
      </c>
      <c r="I9" s="7" t="s">
        <v>27</v>
      </c>
      <c r="J9" s="7"/>
    </row>
    <row r="10" spans="1:12" x14ac:dyDescent="0.3">
      <c r="A10" s="9" t="s">
        <v>97</v>
      </c>
      <c r="B10" s="9" t="s">
        <v>97</v>
      </c>
      <c r="C10" s="7" t="s">
        <v>96</v>
      </c>
      <c r="D10" s="13">
        <v>-0.98</v>
      </c>
      <c r="E10" s="7" t="s">
        <v>25</v>
      </c>
      <c r="F10" s="10">
        <v>10743.15</v>
      </c>
      <c r="G10" s="7" t="s">
        <v>25</v>
      </c>
      <c r="H10" s="7" t="s">
        <v>95</v>
      </c>
      <c r="I10" s="7" t="s">
        <v>27</v>
      </c>
      <c r="J10" s="7"/>
    </row>
    <row r="11" spans="1:12" x14ac:dyDescent="0.3">
      <c r="A11" s="9" t="s">
        <v>94</v>
      </c>
      <c r="B11" s="9" t="s">
        <v>93</v>
      </c>
      <c r="C11" s="7" t="s">
        <v>54</v>
      </c>
      <c r="D11" s="13">
        <v>-5775.85</v>
      </c>
      <c r="E11" s="7" t="s">
        <v>25</v>
      </c>
      <c r="F11" s="10">
        <v>10744.13</v>
      </c>
      <c r="G11" s="7" t="s">
        <v>25</v>
      </c>
      <c r="H11" s="7" t="s">
        <v>37</v>
      </c>
      <c r="I11" s="7" t="s">
        <v>27</v>
      </c>
      <c r="J11" s="7"/>
    </row>
    <row r="12" spans="1:12" x14ac:dyDescent="0.3">
      <c r="A12" s="9" t="s">
        <v>93</v>
      </c>
      <c r="B12" s="9" t="s">
        <v>93</v>
      </c>
      <c r="C12" s="7" t="s">
        <v>59</v>
      </c>
      <c r="D12" s="13">
        <v>3529.17</v>
      </c>
      <c r="E12" s="7" t="s">
        <v>25</v>
      </c>
      <c r="F12" s="10">
        <v>16519.98</v>
      </c>
      <c r="G12" s="7" t="s">
        <v>25</v>
      </c>
      <c r="H12" s="7" t="s">
        <v>26</v>
      </c>
      <c r="I12" s="7" t="s">
        <v>27</v>
      </c>
      <c r="J12" s="7"/>
    </row>
  </sheetData>
  <conditionalFormatting sqref="D2:D12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9784-8CEA-480C-AEF3-141DA5AA6578}">
  <dimension ref="A1:L17"/>
  <sheetViews>
    <sheetView topLeftCell="A7" workbookViewId="0">
      <selection activeCell="I9" sqref="I9:I16"/>
    </sheetView>
  </sheetViews>
  <sheetFormatPr baseColWidth="10" defaultColWidth="8.88671875" defaultRowHeight="14.4" x14ac:dyDescent="0.3"/>
  <cols>
    <col min="1" max="2" width="10.5546875" customWidth="1"/>
    <col min="3" max="3" width="73.777343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123</v>
      </c>
      <c r="E3" s="14" t="s">
        <v>123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123</v>
      </c>
    </row>
    <row r="7" spans="1:12" ht="13.95" customHeight="1" x14ac:dyDescent="0.3">
      <c r="A7" s="20" t="s">
        <v>122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121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120</v>
      </c>
      <c r="B9" s="16" t="s">
        <v>120</v>
      </c>
      <c r="C9" s="14" t="s">
        <v>119</v>
      </c>
      <c r="D9" s="13">
        <v>1633.5</v>
      </c>
      <c r="E9" s="14" t="s">
        <v>25</v>
      </c>
      <c r="F9" s="15">
        <v>12597.28</v>
      </c>
      <c r="G9" s="14" t="s">
        <v>25</v>
      </c>
      <c r="H9" s="14" t="s">
        <v>26</v>
      </c>
      <c r="I9" s="14" t="s">
        <v>27</v>
      </c>
      <c r="J9" s="14" t="s">
        <v>27</v>
      </c>
      <c r="K9" s="14"/>
    </row>
    <row r="10" spans="1:12" ht="22.95" customHeight="1" x14ac:dyDescent="0.3">
      <c r="A10" s="16" t="s">
        <v>118</v>
      </c>
      <c r="B10" s="16" t="s">
        <v>118</v>
      </c>
      <c r="C10" s="14" t="s">
        <v>117</v>
      </c>
      <c r="D10" s="13">
        <v>3252.12</v>
      </c>
      <c r="E10" s="14" t="s">
        <v>25</v>
      </c>
      <c r="F10" s="15">
        <v>10963.78</v>
      </c>
      <c r="G10" s="14" t="s">
        <v>25</v>
      </c>
      <c r="H10" s="14" t="s">
        <v>26</v>
      </c>
      <c r="I10" s="14" t="s">
        <v>27</v>
      </c>
      <c r="J10" s="14" t="s">
        <v>27</v>
      </c>
      <c r="K10" s="14"/>
    </row>
    <row r="11" spans="1:12" ht="22.95" customHeight="1" x14ac:dyDescent="0.3">
      <c r="A11" s="16" t="s">
        <v>116</v>
      </c>
      <c r="B11" s="16" t="s">
        <v>116</v>
      </c>
      <c r="C11" s="14" t="s">
        <v>115</v>
      </c>
      <c r="D11" s="13">
        <v>2644.46</v>
      </c>
      <c r="E11" s="14" t="s">
        <v>25</v>
      </c>
      <c r="F11" s="15">
        <v>7711.66</v>
      </c>
      <c r="G11" s="14" t="s">
        <v>25</v>
      </c>
      <c r="H11" s="14" t="s">
        <v>26</v>
      </c>
      <c r="I11" s="14" t="s">
        <v>27</v>
      </c>
      <c r="J11" s="14" t="s">
        <v>27</v>
      </c>
      <c r="K11" s="14"/>
    </row>
    <row r="12" spans="1:12" ht="22.95" customHeight="1" x14ac:dyDescent="0.3">
      <c r="A12" s="16" t="s">
        <v>114</v>
      </c>
      <c r="B12" s="16" t="s">
        <v>114</v>
      </c>
      <c r="C12" s="14" t="s">
        <v>41</v>
      </c>
      <c r="D12" s="13">
        <v>-40000</v>
      </c>
      <c r="E12" s="14" t="s">
        <v>25</v>
      </c>
      <c r="F12" s="15">
        <v>5067.2</v>
      </c>
      <c r="G12" s="14" t="s">
        <v>25</v>
      </c>
      <c r="H12" s="14" t="s">
        <v>32</v>
      </c>
      <c r="I12" s="14" t="s">
        <v>27</v>
      </c>
      <c r="J12" s="14" t="s">
        <v>27</v>
      </c>
      <c r="K12" s="14"/>
    </row>
    <row r="13" spans="1:12" ht="22.95" customHeight="1" x14ac:dyDescent="0.3">
      <c r="A13" s="16" t="s">
        <v>114</v>
      </c>
      <c r="B13" s="16" t="s">
        <v>114</v>
      </c>
      <c r="C13" s="14" t="s">
        <v>33</v>
      </c>
      <c r="D13" s="13">
        <v>20000</v>
      </c>
      <c r="E13" s="14" t="s">
        <v>25</v>
      </c>
      <c r="F13" s="15">
        <v>45067.199999999997</v>
      </c>
      <c r="G13" s="14" t="s">
        <v>25</v>
      </c>
      <c r="H13" s="14" t="s">
        <v>26</v>
      </c>
      <c r="I13" s="14" t="s">
        <v>27</v>
      </c>
      <c r="J13" s="14" t="s">
        <v>27</v>
      </c>
      <c r="K13" s="14"/>
    </row>
    <row r="14" spans="1:12" ht="22.95" customHeight="1" x14ac:dyDescent="0.3">
      <c r="A14" s="16" t="s">
        <v>113</v>
      </c>
      <c r="B14" s="16" t="s">
        <v>113</v>
      </c>
      <c r="C14" s="14" t="s">
        <v>112</v>
      </c>
      <c r="D14" s="13">
        <v>-5808</v>
      </c>
      <c r="E14" s="14" t="s">
        <v>25</v>
      </c>
      <c r="F14" s="15">
        <v>25067.200000000001</v>
      </c>
      <c r="G14" s="14" t="s">
        <v>25</v>
      </c>
      <c r="H14" s="14" t="s">
        <v>32</v>
      </c>
      <c r="I14" s="14" t="s">
        <v>27</v>
      </c>
      <c r="J14" s="14" t="s">
        <v>27</v>
      </c>
      <c r="K14" s="14"/>
    </row>
    <row r="15" spans="1:12" ht="22.95" customHeight="1" x14ac:dyDescent="0.3">
      <c r="A15" s="16" t="s">
        <v>111</v>
      </c>
      <c r="B15" s="16" t="s">
        <v>111</v>
      </c>
      <c r="C15" s="14" t="s">
        <v>110</v>
      </c>
      <c r="D15" s="13">
        <v>5808</v>
      </c>
      <c r="E15" s="14" t="s">
        <v>25</v>
      </c>
      <c r="F15" s="15">
        <v>30875.200000000001</v>
      </c>
      <c r="G15" s="14" t="s">
        <v>25</v>
      </c>
      <c r="H15" s="14" t="s">
        <v>26</v>
      </c>
      <c r="I15" s="14" t="s">
        <v>27</v>
      </c>
      <c r="J15" s="14" t="s">
        <v>27</v>
      </c>
      <c r="K15" s="14"/>
    </row>
    <row r="16" spans="1:12" ht="22.95" customHeight="1" x14ac:dyDescent="0.3">
      <c r="A16" s="16" t="s">
        <v>107</v>
      </c>
      <c r="B16" s="16" t="s">
        <v>107</v>
      </c>
      <c r="C16" s="14" t="s">
        <v>59</v>
      </c>
      <c r="D16" s="13">
        <v>3529.17</v>
      </c>
      <c r="E16" s="14" t="s">
        <v>25</v>
      </c>
      <c r="F16" s="15">
        <v>25067.200000000001</v>
      </c>
      <c r="G16" s="14" t="s">
        <v>25</v>
      </c>
      <c r="H16" s="14" t="s">
        <v>26</v>
      </c>
      <c r="I16" s="14" t="s">
        <v>27</v>
      </c>
      <c r="J16" s="14" t="s">
        <v>27</v>
      </c>
      <c r="K16" s="14"/>
    </row>
    <row r="17" spans="1:12" ht="22.95" customHeight="1" x14ac:dyDescent="0.3">
      <c r="A17" s="16" t="s">
        <v>107</v>
      </c>
      <c r="B17" s="16" t="s">
        <v>107</v>
      </c>
      <c r="C17" s="14" t="s">
        <v>54</v>
      </c>
      <c r="D17" s="13">
        <v>-5775.85</v>
      </c>
      <c r="E17" s="14" t="s">
        <v>25</v>
      </c>
      <c r="F17" s="15">
        <v>21538.03</v>
      </c>
      <c r="G17" s="14" t="s">
        <v>25</v>
      </c>
      <c r="H17" s="14" t="s">
        <v>37</v>
      </c>
      <c r="I17" s="14"/>
      <c r="J17" s="14" t="s">
        <v>27</v>
      </c>
      <c r="K17" s="14" t="s">
        <v>27</v>
      </c>
      <c r="L17" s="14"/>
    </row>
  </sheetData>
  <mergeCells count="3">
    <mergeCell ref="A1:B5"/>
    <mergeCell ref="A7:C7"/>
    <mergeCell ref="D7:J7"/>
  </mergeCells>
  <conditionalFormatting sqref="D9:D17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0A68-F0B9-485E-B9B4-1DD0EEAAE75C}">
  <dimension ref="A1:L14"/>
  <sheetViews>
    <sheetView workbookViewId="0">
      <selection activeCell="I9" sqref="I9:I14"/>
    </sheetView>
  </sheetViews>
  <sheetFormatPr baseColWidth="10" defaultColWidth="8.88671875" defaultRowHeight="14.4" x14ac:dyDescent="0.3"/>
  <cols>
    <col min="1" max="2" width="10.5546875" customWidth="1"/>
    <col min="3" max="3" width="67.441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137</v>
      </c>
      <c r="E3" s="14" t="s">
        <v>137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136</v>
      </c>
    </row>
    <row r="7" spans="1:12" ht="13.95" customHeight="1" x14ac:dyDescent="0.3">
      <c r="A7" s="20" t="s">
        <v>135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134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133</v>
      </c>
      <c r="B9" s="16" t="s">
        <v>133</v>
      </c>
      <c r="C9" s="14" t="s">
        <v>132</v>
      </c>
      <c r="D9" s="13">
        <v>3550.74</v>
      </c>
      <c r="E9" s="14" t="s">
        <v>25</v>
      </c>
      <c r="F9" s="15">
        <v>17512.73</v>
      </c>
      <c r="G9" s="14" t="s">
        <v>25</v>
      </c>
      <c r="H9" s="14" t="s">
        <v>26</v>
      </c>
      <c r="I9" s="14" t="s">
        <v>27</v>
      </c>
      <c r="J9" s="14" t="s">
        <v>27</v>
      </c>
      <c r="K9" s="14"/>
    </row>
    <row r="10" spans="1:12" ht="22.95" customHeight="1" x14ac:dyDescent="0.3">
      <c r="A10" s="16" t="s">
        <v>131</v>
      </c>
      <c r="B10" s="16" t="s">
        <v>131</v>
      </c>
      <c r="C10" s="14" t="s">
        <v>59</v>
      </c>
      <c r="D10" s="13">
        <v>677.6</v>
      </c>
      <c r="E10" s="14" t="s">
        <v>25</v>
      </c>
      <c r="F10" s="15">
        <v>13961.99</v>
      </c>
      <c r="G10" s="14" t="s">
        <v>25</v>
      </c>
      <c r="H10" s="14" t="s">
        <v>26</v>
      </c>
      <c r="I10" s="14" t="s">
        <v>27</v>
      </c>
      <c r="J10" s="14" t="s">
        <v>27</v>
      </c>
      <c r="K10" s="14"/>
    </row>
    <row r="11" spans="1:12" ht="22.95" customHeight="1" x14ac:dyDescent="0.3">
      <c r="A11" s="16" t="s">
        <v>130</v>
      </c>
      <c r="B11" s="16" t="s">
        <v>129</v>
      </c>
      <c r="C11" s="14" t="s">
        <v>54</v>
      </c>
      <c r="D11" s="13">
        <v>-5775.85</v>
      </c>
      <c r="E11" s="14" t="s">
        <v>25</v>
      </c>
      <c r="F11" s="15">
        <v>13284.39</v>
      </c>
      <c r="G11" s="14" t="s">
        <v>25</v>
      </c>
      <c r="H11" s="14" t="s">
        <v>37</v>
      </c>
      <c r="I11" s="14" t="s">
        <v>27</v>
      </c>
      <c r="J11" s="14" t="s">
        <v>27</v>
      </c>
      <c r="K11" s="14"/>
    </row>
    <row r="12" spans="1:12" ht="22.95" customHeight="1" x14ac:dyDescent="0.3">
      <c r="A12" s="16" t="s">
        <v>128</v>
      </c>
      <c r="B12" s="16" t="s">
        <v>128</v>
      </c>
      <c r="C12" s="14" t="s">
        <v>59</v>
      </c>
      <c r="D12" s="13">
        <v>3529.17</v>
      </c>
      <c r="E12" s="14" t="s">
        <v>25</v>
      </c>
      <c r="F12" s="15">
        <v>19060.240000000002</v>
      </c>
      <c r="G12" s="14" t="s">
        <v>25</v>
      </c>
      <c r="H12" s="14" t="s">
        <v>26</v>
      </c>
      <c r="I12" s="14" t="s">
        <v>27</v>
      </c>
      <c r="J12" s="14" t="s">
        <v>27</v>
      </c>
      <c r="K12" s="14"/>
    </row>
    <row r="13" spans="1:12" ht="22.95" customHeight="1" x14ac:dyDescent="0.3">
      <c r="A13" s="16" t="s">
        <v>127</v>
      </c>
      <c r="B13" s="16" t="s">
        <v>126</v>
      </c>
      <c r="C13" s="14" t="s">
        <v>91</v>
      </c>
      <c r="D13" s="13">
        <v>-90</v>
      </c>
      <c r="E13" s="14" t="s">
        <v>25</v>
      </c>
      <c r="F13" s="15">
        <v>15531.07</v>
      </c>
      <c r="G13" s="14" t="s">
        <v>25</v>
      </c>
      <c r="H13" s="14" t="s">
        <v>37</v>
      </c>
      <c r="I13" s="14" t="s">
        <v>27</v>
      </c>
      <c r="J13" s="14" t="s">
        <v>27</v>
      </c>
      <c r="K13" s="14"/>
    </row>
    <row r="14" spans="1:12" ht="22.95" customHeight="1" x14ac:dyDescent="0.3">
      <c r="A14" s="16" t="s">
        <v>125</v>
      </c>
      <c r="B14" s="16" t="s">
        <v>125</v>
      </c>
      <c r="C14" s="14" t="s">
        <v>124</v>
      </c>
      <c r="D14" s="13">
        <v>3023.79</v>
      </c>
      <c r="E14" s="14" t="s">
        <v>25</v>
      </c>
      <c r="F14" s="15">
        <v>15621.07</v>
      </c>
      <c r="G14" s="14" t="s">
        <v>25</v>
      </c>
      <c r="H14" s="14" t="s">
        <v>26</v>
      </c>
      <c r="I14" s="14" t="s">
        <v>27</v>
      </c>
      <c r="J14" s="14" t="s">
        <v>27</v>
      </c>
      <c r="K14" s="14"/>
    </row>
  </sheetData>
  <mergeCells count="3">
    <mergeCell ref="A1:B5"/>
    <mergeCell ref="A7:C7"/>
    <mergeCell ref="D7:J7"/>
  </mergeCells>
  <conditionalFormatting sqref="D9:D1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264F-6D20-40C1-BE70-6D95B996E0D5}">
  <dimension ref="A1:L20"/>
  <sheetViews>
    <sheetView zoomScale="80" zoomScaleNormal="80" workbookViewId="0">
      <selection activeCell="I9" sqref="I9:J20"/>
    </sheetView>
  </sheetViews>
  <sheetFormatPr baseColWidth="10" defaultColWidth="8.88671875" defaultRowHeight="14.4" x14ac:dyDescent="0.3"/>
  <cols>
    <col min="1" max="2" width="10.5546875" customWidth="1"/>
    <col min="3" max="3" width="72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3.44140625" customWidth="1"/>
    <col min="10" max="10" width="12.8867187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138</v>
      </c>
      <c r="E3" s="14" t="s">
        <v>138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138</v>
      </c>
    </row>
    <row r="7" spans="1:12" ht="13.95" customHeight="1" x14ac:dyDescent="0.3">
      <c r="A7" s="20" t="s">
        <v>139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140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141</v>
      </c>
      <c r="B9" s="16" t="s">
        <v>141</v>
      </c>
      <c r="C9" s="14" t="s">
        <v>99</v>
      </c>
      <c r="D9" s="13">
        <v>2497.44</v>
      </c>
      <c r="E9" s="14" t="s">
        <v>25</v>
      </c>
      <c r="F9" s="15">
        <v>24247.52</v>
      </c>
      <c r="G9" s="14" t="s">
        <v>25</v>
      </c>
      <c r="H9" s="14" t="s">
        <v>26</v>
      </c>
      <c r="I9" s="14" t="s">
        <v>27</v>
      </c>
      <c r="J9" s="14"/>
    </row>
    <row r="10" spans="1:12" ht="22.95" customHeight="1" x14ac:dyDescent="0.3">
      <c r="A10" s="16" t="s">
        <v>142</v>
      </c>
      <c r="B10" s="16" t="s">
        <v>142</v>
      </c>
      <c r="C10" s="14" t="s">
        <v>143</v>
      </c>
      <c r="D10" s="13">
        <v>10366.08</v>
      </c>
      <c r="E10" s="14" t="s">
        <v>25</v>
      </c>
      <c r="F10" s="15">
        <v>21750.080000000002</v>
      </c>
      <c r="G10" s="14" t="s">
        <v>25</v>
      </c>
      <c r="H10" s="14" t="s">
        <v>26</v>
      </c>
      <c r="I10" s="14" t="s">
        <v>27</v>
      </c>
      <c r="J10" s="14"/>
    </row>
    <row r="11" spans="1:12" ht="22.95" customHeight="1" x14ac:dyDescent="0.3">
      <c r="A11" s="16" t="s">
        <v>144</v>
      </c>
      <c r="B11" s="16" t="s">
        <v>145</v>
      </c>
      <c r="C11" s="14" t="s">
        <v>36</v>
      </c>
      <c r="D11" s="13">
        <v>-441.97</v>
      </c>
      <c r="E11" s="14" t="s">
        <v>25</v>
      </c>
      <c r="F11" s="15">
        <v>11384</v>
      </c>
      <c r="G11" s="14" t="s">
        <v>25</v>
      </c>
      <c r="H11" s="14" t="s">
        <v>37</v>
      </c>
      <c r="I11" s="14" t="s">
        <v>27</v>
      </c>
      <c r="J11" s="14"/>
    </row>
    <row r="12" spans="1:12" ht="25.2" customHeight="1" x14ac:dyDescent="0.3">
      <c r="A12" s="16" t="s">
        <v>146</v>
      </c>
      <c r="B12" s="16" t="s">
        <v>146</v>
      </c>
      <c r="C12" s="14" t="s">
        <v>147</v>
      </c>
      <c r="D12" s="13">
        <v>130.07</v>
      </c>
      <c r="E12" s="14" t="s">
        <v>25</v>
      </c>
      <c r="F12" s="15">
        <v>11825.97</v>
      </c>
      <c r="G12" s="14" t="s">
        <v>25</v>
      </c>
      <c r="H12" s="14" t="s">
        <v>26</v>
      </c>
      <c r="I12" s="14" t="s">
        <v>27</v>
      </c>
      <c r="J12" s="14"/>
    </row>
    <row r="13" spans="1:12" ht="22.95" customHeight="1" x14ac:dyDescent="0.3">
      <c r="A13" s="16" t="s">
        <v>146</v>
      </c>
      <c r="B13" s="16" t="s">
        <v>146</v>
      </c>
      <c r="C13" s="14" t="s">
        <v>59</v>
      </c>
      <c r="D13" s="13">
        <v>910.49</v>
      </c>
      <c r="E13" s="14" t="s">
        <v>25</v>
      </c>
      <c r="F13" s="15">
        <v>11695.9</v>
      </c>
      <c r="G13" s="14" t="s">
        <v>25</v>
      </c>
      <c r="H13" s="14" t="s">
        <v>26</v>
      </c>
      <c r="I13" s="14" t="s">
        <v>27</v>
      </c>
      <c r="J13" s="14"/>
    </row>
    <row r="14" spans="1:12" ht="22.95" customHeight="1" x14ac:dyDescent="0.3">
      <c r="A14" s="16" t="s">
        <v>146</v>
      </c>
      <c r="B14" s="16" t="s">
        <v>146</v>
      </c>
      <c r="C14" s="14" t="s">
        <v>148</v>
      </c>
      <c r="D14" s="13">
        <v>6468.66</v>
      </c>
      <c r="E14" s="14" t="s">
        <v>25</v>
      </c>
      <c r="F14" s="15">
        <v>10785.41</v>
      </c>
      <c r="G14" s="14" t="s">
        <v>25</v>
      </c>
      <c r="H14" s="14" t="s">
        <v>26</v>
      </c>
      <c r="I14" s="14" t="s">
        <v>27</v>
      </c>
      <c r="J14" s="14"/>
    </row>
    <row r="15" spans="1:12" ht="22.95" customHeight="1" x14ac:dyDescent="0.3">
      <c r="A15" s="16" t="s">
        <v>149</v>
      </c>
      <c r="B15" s="16" t="s">
        <v>149</v>
      </c>
      <c r="C15" s="14" t="s">
        <v>150</v>
      </c>
      <c r="D15" s="13">
        <v>-60000</v>
      </c>
      <c r="E15" s="14" t="s">
        <v>25</v>
      </c>
      <c r="F15" s="15">
        <v>4316.75</v>
      </c>
      <c r="G15" s="14" t="s">
        <v>25</v>
      </c>
      <c r="H15" s="14" t="s">
        <v>32</v>
      </c>
      <c r="I15" s="14" t="s">
        <v>27</v>
      </c>
      <c r="J15" s="14"/>
    </row>
    <row r="16" spans="1:12" ht="22.95" customHeight="1" x14ac:dyDescent="0.3">
      <c r="A16" s="16" t="s">
        <v>149</v>
      </c>
      <c r="B16" s="16" t="s">
        <v>149</v>
      </c>
      <c r="C16" s="14" t="s">
        <v>33</v>
      </c>
      <c r="D16" s="13">
        <v>30000</v>
      </c>
      <c r="E16" s="14" t="s">
        <v>25</v>
      </c>
      <c r="F16" s="15">
        <v>64316.75</v>
      </c>
      <c r="G16" s="14" t="s">
        <v>25</v>
      </c>
      <c r="H16" s="14" t="s">
        <v>26</v>
      </c>
      <c r="I16" s="14" t="s">
        <v>27</v>
      </c>
      <c r="J16" s="14"/>
    </row>
    <row r="17" spans="1:10" ht="22.95" customHeight="1" x14ac:dyDescent="0.3">
      <c r="A17" s="16" t="s">
        <v>151</v>
      </c>
      <c r="B17" s="16" t="s">
        <v>151</v>
      </c>
      <c r="C17" s="14" t="s">
        <v>59</v>
      </c>
      <c r="D17" s="13">
        <v>3529.17</v>
      </c>
      <c r="E17" s="14" t="s">
        <v>25</v>
      </c>
      <c r="F17" s="15">
        <v>34316.75</v>
      </c>
      <c r="G17" s="14" t="s">
        <v>25</v>
      </c>
      <c r="H17" s="14" t="s">
        <v>26</v>
      </c>
      <c r="I17" s="14" t="s">
        <v>27</v>
      </c>
      <c r="J17" s="14"/>
    </row>
    <row r="18" spans="1:10" ht="22.95" customHeight="1" x14ac:dyDescent="0.3">
      <c r="A18" s="16" t="s">
        <v>151</v>
      </c>
      <c r="B18" s="16" t="s">
        <v>151</v>
      </c>
      <c r="C18" s="14" t="s">
        <v>152</v>
      </c>
      <c r="D18" s="13">
        <v>1045.9000000000001</v>
      </c>
      <c r="E18" s="14" t="s">
        <v>25</v>
      </c>
      <c r="F18" s="15">
        <v>30787.58</v>
      </c>
      <c r="G18" s="14" t="s">
        <v>25</v>
      </c>
      <c r="H18" s="14" t="s">
        <v>26</v>
      </c>
      <c r="I18" s="14" t="s">
        <v>27</v>
      </c>
      <c r="J18" s="14"/>
    </row>
    <row r="19" spans="1:10" ht="22.95" customHeight="1" x14ac:dyDescent="0.3">
      <c r="A19" s="16" t="s">
        <v>153</v>
      </c>
      <c r="B19" s="16" t="s">
        <v>154</v>
      </c>
      <c r="C19" s="14" t="s">
        <v>54</v>
      </c>
      <c r="D19" s="13">
        <v>-5775.85</v>
      </c>
      <c r="E19" s="14" t="s">
        <v>25</v>
      </c>
      <c r="F19" s="15">
        <v>29741.68</v>
      </c>
      <c r="G19" s="14" t="s">
        <v>25</v>
      </c>
      <c r="H19" s="14" t="s">
        <v>37</v>
      </c>
      <c r="I19" s="14" t="s">
        <v>27</v>
      </c>
      <c r="J19" s="14"/>
    </row>
    <row r="20" spans="1:10" ht="22.95" customHeight="1" x14ac:dyDescent="0.3">
      <c r="A20" s="16" t="s">
        <v>155</v>
      </c>
      <c r="B20" s="16" t="s">
        <v>155</v>
      </c>
      <c r="C20" s="14" t="s">
        <v>156</v>
      </c>
      <c r="D20" s="13">
        <v>18004.8</v>
      </c>
      <c r="E20" s="14" t="s">
        <v>25</v>
      </c>
      <c r="F20" s="15">
        <v>35517.53</v>
      </c>
      <c r="G20" s="14" t="s">
        <v>25</v>
      </c>
      <c r="H20" s="14" t="s">
        <v>26</v>
      </c>
      <c r="I20" s="14" t="s">
        <v>27</v>
      </c>
      <c r="J20" s="14"/>
    </row>
  </sheetData>
  <mergeCells count="3">
    <mergeCell ref="A1:B5"/>
    <mergeCell ref="A7:C7"/>
    <mergeCell ref="D7:J7"/>
  </mergeCells>
  <conditionalFormatting sqref="D9:D2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C3E5-A622-4FDA-B309-A30D3F0AFCC2}">
  <dimension ref="A1:L17"/>
  <sheetViews>
    <sheetView workbookViewId="0">
      <selection activeCell="I9" sqref="I9:I18"/>
    </sheetView>
  </sheetViews>
  <sheetFormatPr baseColWidth="10" defaultColWidth="8.88671875" defaultRowHeight="14.4" x14ac:dyDescent="0.3"/>
  <cols>
    <col min="1" max="2" width="10.5546875" customWidth="1"/>
    <col min="3" max="3" width="67.88671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23.3320312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168</v>
      </c>
      <c r="E3" s="14" t="s">
        <v>168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168</v>
      </c>
    </row>
    <row r="7" spans="1:12" ht="13.95" customHeight="1" x14ac:dyDescent="0.3">
      <c r="A7" s="20" t="s">
        <v>167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166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165</v>
      </c>
      <c r="B9" s="16" t="s">
        <v>165</v>
      </c>
      <c r="C9" s="14" t="s">
        <v>119</v>
      </c>
      <c r="D9" s="13">
        <v>1633.5</v>
      </c>
      <c r="E9" s="14" t="s">
        <v>25</v>
      </c>
      <c r="F9" s="15">
        <v>14894.36</v>
      </c>
      <c r="G9" s="14" t="s">
        <v>25</v>
      </c>
      <c r="H9" s="14" t="s">
        <v>26</v>
      </c>
      <c r="I9" s="14" t="s">
        <v>27</v>
      </c>
      <c r="J9" s="14" t="s">
        <v>27</v>
      </c>
      <c r="K9" s="14"/>
    </row>
    <row r="10" spans="1:12" ht="22.95" customHeight="1" x14ac:dyDescent="0.3">
      <c r="A10" s="16" t="s">
        <v>163</v>
      </c>
      <c r="B10" s="16" t="s">
        <v>163</v>
      </c>
      <c r="C10" s="14" t="s">
        <v>164</v>
      </c>
      <c r="D10" s="13">
        <v>-10000</v>
      </c>
      <c r="E10" s="14" t="s">
        <v>25</v>
      </c>
      <c r="F10" s="15">
        <v>13260.86</v>
      </c>
      <c r="G10" s="14" t="s">
        <v>25</v>
      </c>
      <c r="H10" s="14" t="s">
        <v>32</v>
      </c>
      <c r="I10" s="14" t="s">
        <v>27</v>
      </c>
      <c r="J10" s="14" t="s">
        <v>27</v>
      </c>
      <c r="K10" s="14"/>
    </row>
    <row r="11" spans="1:12" ht="22.95" customHeight="1" x14ac:dyDescent="0.3">
      <c r="A11" s="16" t="s">
        <v>163</v>
      </c>
      <c r="B11" s="16" t="s">
        <v>163</v>
      </c>
      <c r="C11" s="14" t="s">
        <v>162</v>
      </c>
      <c r="D11" s="13">
        <v>-2000</v>
      </c>
      <c r="E11" s="14" t="s">
        <v>25</v>
      </c>
      <c r="F11" s="15">
        <v>23260.86</v>
      </c>
      <c r="G11" s="14" t="s">
        <v>25</v>
      </c>
      <c r="H11" s="14" t="s">
        <v>32</v>
      </c>
      <c r="I11" s="14" t="s">
        <v>27</v>
      </c>
      <c r="J11" s="14" t="s">
        <v>27</v>
      </c>
      <c r="K11" s="14"/>
    </row>
    <row r="12" spans="1:12" ht="22.95" customHeight="1" x14ac:dyDescent="0.3">
      <c r="A12" s="16" t="s">
        <v>157</v>
      </c>
      <c r="B12" s="16" t="s">
        <v>157</v>
      </c>
      <c r="C12" s="14" t="s">
        <v>158</v>
      </c>
      <c r="D12" s="13">
        <v>-40000</v>
      </c>
      <c r="E12" s="14" t="s">
        <v>25</v>
      </c>
      <c r="F12" s="15">
        <v>25260.86</v>
      </c>
      <c r="G12" s="14" t="s">
        <v>25</v>
      </c>
      <c r="H12" s="14" t="s">
        <v>32</v>
      </c>
      <c r="I12" s="14" t="s">
        <v>27</v>
      </c>
      <c r="J12" s="14" t="s">
        <v>27</v>
      </c>
      <c r="K12" s="14"/>
    </row>
    <row r="13" spans="1:12" ht="22.95" customHeight="1" x14ac:dyDescent="0.3">
      <c r="A13" s="16" t="s">
        <v>157</v>
      </c>
      <c r="B13" s="16" t="s">
        <v>157</v>
      </c>
      <c r="C13" s="14" t="s">
        <v>33</v>
      </c>
      <c r="D13" s="13">
        <v>40000</v>
      </c>
      <c r="E13" s="14" t="s">
        <v>25</v>
      </c>
      <c r="F13" s="15">
        <v>65260.86</v>
      </c>
      <c r="G13" s="14" t="s">
        <v>25</v>
      </c>
      <c r="H13" s="14" t="s">
        <v>26</v>
      </c>
      <c r="I13" s="14" t="s">
        <v>27</v>
      </c>
      <c r="J13" s="14" t="s">
        <v>27</v>
      </c>
      <c r="K13" s="14"/>
    </row>
    <row r="14" spans="1:12" ht="22.95" customHeight="1" x14ac:dyDescent="0.3">
      <c r="A14" s="16" t="s">
        <v>157</v>
      </c>
      <c r="B14" s="16" t="s">
        <v>157</v>
      </c>
      <c r="C14" s="14" t="s">
        <v>159</v>
      </c>
      <c r="D14" s="13">
        <v>-4000</v>
      </c>
      <c r="E14" s="14" t="s">
        <v>25</v>
      </c>
      <c r="F14" s="15">
        <v>25260.86</v>
      </c>
      <c r="G14" s="14" t="s">
        <v>25</v>
      </c>
      <c r="H14" s="14" t="s">
        <v>32</v>
      </c>
      <c r="I14" s="14" t="s">
        <v>27</v>
      </c>
      <c r="J14" s="14" t="s">
        <v>27</v>
      </c>
      <c r="K14" s="14"/>
    </row>
    <row r="15" spans="1:12" ht="22.95" customHeight="1" x14ac:dyDescent="0.3">
      <c r="A15" s="16" t="s">
        <v>160</v>
      </c>
      <c r="B15" s="16" t="s">
        <v>160</v>
      </c>
      <c r="C15" s="14" t="s">
        <v>59</v>
      </c>
      <c r="D15" s="13">
        <v>3529.17</v>
      </c>
      <c r="E15" s="14" t="s">
        <v>25</v>
      </c>
      <c r="F15" s="15">
        <v>29260.86</v>
      </c>
      <c r="G15" s="14" t="s">
        <v>25</v>
      </c>
      <c r="H15" s="14" t="s">
        <v>26</v>
      </c>
      <c r="I15" s="14" t="s">
        <v>27</v>
      </c>
      <c r="J15" s="14" t="s">
        <v>27</v>
      </c>
      <c r="K15" s="14"/>
    </row>
    <row r="16" spans="1:12" ht="22.95" customHeight="1" x14ac:dyDescent="0.3">
      <c r="A16" s="16" t="s">
        <v>160</v>
      </c>
      <c r="B16" s="16" t="s">
        <v>160</v>
      </c>
      <c r="C16" s="14" t="s">
        <v>54</v>
      </c>
      <c r="D16" s="13">
        <v>-5775.85</v>
      </c>
      <c r="E16" s="14" t="s">
        <v>25</v>
      </c>
      <c r="F16" s="15">
        <v>25731.69</v>
      </c>
      <c r="G16" s="14" t="s">
        <v>25</v>
      </c>
      <c r="H16" s="14" t="s">
        <v>37</v>
      </c>
      <c r="I16" s="14" t="s">
        <v>27</v>
      </c>
      <c r="J16" s="14" t="s">
        <v>27</v>
      </c>
      <c r="K16" s="14"/>
    </row>
    <row r="17" spans="1:11" ht="22.95" customHeight="1" x14ac:dyDescent="0.3">
      <c r="A17" s="16" t="s">
        <v>161</v>
      </c>
      <c r="B17" s="16" t="s">
        <v>161</v>
      </c>
      <c r="C17" s="14" t="s">
        <v>52</v>
      </c>
      <c r="D17" s="13">
        <v>7260.02</v>
      </c>
      <c r="E17" s="14" t="s">
        <v>25</v>
      </c>
      <c r="F17" s="15">
        <v>31507.54</v>
      </c>
      <c r="G17" s="14" t="s">
        <v>25</v>
      </c>
      <c r="H17" s="14" t="s">
        <v>26</v>
      </c>
      <c r="I17" s="14" t="s">
        <v>27</v>
      </c>
      <c r="J17" s="14" t="s">
        <v>27</v>
      </c>
      <c r="K17" s="14"/>
    </row>
  </sheetData>
  <mergeCells count="3">
    <mergeCell ref="A1:B5"/>
    <mergeCell ref="A7:C7"/>
    <mergeCell ref="D7:J7"/>
  </mergeCells>
  <conditionalFormatting sqref="D9:D17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7B5C-580B-4BCE-9691-34DF9A868981}">
  <dimension ref="A1:L15"/>
  <sheetViews>
    <sheetView workbookViewId="0">
      <selection activeCell="I9" sqref="I9:I15"/>
    </sheetView>
  </sheetViews>
  <sheetFormatPr baseColWidth="10" defaultRowHeight="14.4" x14ac:dyDescent="0.3"/>
  <cols>
    <col min="3" max="3" width="64" bestFit="1" customWidth="1"/>
    <col min="9" max="9" width="15.33203125" bestFit="1" customWidth="1"/>
  </cols>
  <sheetData>
    <row r="1" spans="1:12" x14ac:dyDescent="0.3">
      <c r="A1" s="19"/>
      <c r="B1" s="19"/>
    </row>
    <row r="2" spans="1:12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x14ac:dyDescent="0.3">
      <c r="A3" s="19"/>
      <c r="B3" s="19"/>
      <c r="C3" s="14" t="s">
        <v>3</v>
      </c>
      <c r="D3" s="14" t="s">
        <v>169</v>
      </c>
      <c r="E3" s="14" t="s">
        <v>169</v>
      </c>
    </row>
    <row r="4" spans="1:12" x14ac:dyDescent="0.3">
      <c r="A4" s="19"/>
      <c r="B4" s="19"/>
    </row>
    <row r="5" spans="1:12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x14ac:dyDescent="0.3">
      <c r="C6" s="14" t="s">
        <v>8</v>
      </c>
      <c r="D6" s="14" t="s">
        <v>9</v>
      </c>
      <c r="E6" s="14" t="s">
        <v>169</v>
      </c>
    </row>
    <row r="7" spans="1:12" x14ac:dyDescent="0.3">
      <c r="A7" s="20" t="s">
        <v>170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171</v>
      </c>
    </row>
    <row r="8" spans="1:12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x14ac:dyDescent="0.3">
      <c r="A9" s="16" t="s">
        <v>172</v>
      </c>
      <c r="B9" s="16" t="s">
        <v>172</v>
      </c>
      <c r="C9" s="14" t="s">
        <v>173</v>
      </c>
      <c r="D9" s="13">
        <v>4836.96</v>
      </c>
      <c r="E9" s="14" t="s">
        <v>25</v>
      </c>
      <c r="F9" s="15">
        <v>21801.34</v>
      </c>
      <c r="G9" s="14" t="s">
        <v>25</v>
      </c>
      <c r="H9" s="14" t="s">
        <v>26</v>
      </c>
      <c r="I9" s="14" t="s">
        <v>27</v>
      </c>
      <c r="J9" s="14" t="s">
        <v>27</v>
      </c>
      <c r="K9" s="14"/>
    </row>
    <row r="10" spans="1:12" x14ac:dyDescent="0.3">
      <c r="A10" s="16" t="s">
        <v>174</v>
      </c>
      <c r="B10" s="16" t="s">
        <v>174</v>
      </c>
      <c r="C10" s="14" t="s">
        <v>175</v>
      </c>
      <c r="D10" s="13">
        <v>4406.7</v>
      </c>
      <c r="E10" s="14" t="s">
        <v>25</v>
      </c>
      <c r="F10" s="15">
        <v>16964.38</v>
      </c>
      <c r="G10" s="14" t="s">
        <v>25</v>
      </c>
      <c r="H10" s="14" t="s">
        <v>26</v>
      </c>
      <c r="I10" s="14" t="s">
        <v>27</v>
      </c>
      <c r="J10" s="14" t="s">
        <v>27</v>
      </c>
      <c r="K10" s="14"/>
    </row>
    <row r="11" spans="1:12" x14ac:dyDescent="0.3">
      <c r="A11" s="16" t="s">
        <v>176</v>
      </c>
      <c r="B11" s="16" t="s">
        <v>176</v>
      </c>
      <c r="C11" s="14" t="s">
        <v>177</v>
      </c>
      <c r="D11" s="13">
        <v>-4235</v>
      </c>
      <c r="E11" s="14" t="s">
        <v>25</v>
      </c>
      <c r="F11" s="15">
        <v>12557.68</v>
      </c>
      <c r="G11" s="14" t="s">
        <v>25</v>
      </c>
      <c r="H11" s="14" t="s">
        <v>32</v>
      </c>
      <c r="I11" s="14" t="s">
        <v>27</v>
      </c>
      <c r="J11" s="14" t="s">
        <v>27</v>
      </c>
      <c r="K11" s="14"/>
    </row>
    <row r="12" spans="1:12" x14ac:dyDescent="0.3">
      <c r="A12" s="16" t="s">
        <v>176</v>
      </c>
      <c r="B12" s="16" t="s">
        <v>176</v>
      </c>
      <c r="C12" s="14" t="s">
        <v>178</v>
      </c>
      <c r="D12" s="13">
        <v>4235</v>
      </c>
      <c r="E12" s="14" t="s">
        <v>25</v>
      </c>
      <c r="F12" s="15">
        <v>16792.68</v>
      </c>
      <c r="G12" s="14" t="s">
        <v>25</v>
      </c>
      <c r="H12" s="14" t="s">
        <v>26</v>
      </c>
      <c r="I12" s="14" t="s">
        <v>27</v>
      </c>
      <c r="J12" s="14" t="s">
        <v>27</v>
      </c>
      <c r="K12" s="14"/>
    </row>
    <row r="13" spans="1:12" x14ac:dyDescent="0.3">
      <c r="A13" s="16" t="s">
        <v>179</v>
      </c>
      <c r="B13" s="16" t="s">
        <v>180</v>
      </c>
      <c r="C13" s="14" t="s">
        <v>54</v>
      </c>
      <c r="D13" s="13">
        <v>-5775.85</v>
      </c>
      <c r="E13" s="14" t="s">
        <v>25</v>
      </c>
      <c r="F13" s="15">
        <v>12557.68</v>
      </c>
      <c r="G13" s="14" t="s">
        <v>25</v>
      </c>
      <c r="H13" s="14" t="s">
        <v>37</v>
      </c>
      <c r="I13" s="14" t="s">
        <v>27</v>
      </c>
      <c r="J13" s="14" t="s">
        <v>27</v>
      </c>
      <c r="K13" s="14"/>
    </row>
    <row r="14" spans="1:12" x14ac:dyDescent="0.3">
      <c r="A14" s="16" t="s">
        <v>181</v>
      </c>
      <c r="B14" s="16" t="s">
        <v>181</v>
      </c>
      <c r="C14" s="14" t="s">
        <v>59</v>
      </c>
      <c r="D14" s="13">
        <v>3529.17</v>
      </c>
      <c r="E14" s="14" t="s">
        <v>25</v>
      </c>
      <c r="F14" s="15">
        <v>18333.53</v>
      </c>
      <c r="G14" s="14" t="s">
        <v>25</v>
      </c>
      <c r="H14" s="14" t="s">
        <v>26</v>
      </c>
      <c r="I14" s="14" t="s">
        <v>27</v>
      </c>
      <c r="J14" s="14" t="s">
        <v>27</v>
      </c>
      <c r="K14" s="14"/>
    </row>
    <row r="15" spans="1:12" x14ac:dyDescent="0.3">
      <c r="A15" s="16" t="s">
        <v>182</v>
      </c>
      <c r="B15" s="16" t="s">
        <v>183</v>
      </c>
      <c r="C15" s="14" t="s">
        <v>91</v>
      </c>
      <c r="D15" s="13">
        <v>-90</v>
      </c>
      <c r="E15" s="14" t="s">
        <v>25</v>
      </c>
      <c r="F15" s="15">
        <v>14804.36</v>
      </c>
      <c r="G15" s="14" t="s">
        <v>25</v>
      </c>
      <c r="H15" s="14" t="s">
        <v>37</v>
      </c>
      <c r="I15" s="14" t="s">
        <v>27</v>
      </c>
      <c r="J15" s="14" t="s">
        <v>27</v>
      </c>
      <c r="K15" s="14"/>
    </row>
  </sheetData>
  <mergeCells count="3">
    <mergeCell ref="A1:B5"/>
    <mergeCell ref="A7:C7"/>
    <mergeCell ref="D7:J7"/>
  </mergeCells>
  <conditionalFormatting sqref="D9:D15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99B1-15F4-4299-B180-01D83467A60F}">
  <dimension ref="A1:L20"/>
  <sheetViews>
    <sheetView topLeftCell="A7" workbookViewId="0">
      <selection activeCell="I11" sqref="I11:I20"/>
    </sheetView>
  </sheetViews>
  <sheetFormatPr baseColWidth="10" defaultColWidth="8.88671875" defaultRowHeight="14.4" x14ac:dyDescent="0.3"/>
  <cols>
    <col min="1" max="2" width="10.5546875" customWidth="1"/>
    <col min="3" max="3" width="68.21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198</v>
      </c>
      <c r="E3" s="14" t="s">
        <v>198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198</v>
      </c>
    </row>
    <row r="7" spans="1:12" ht="13.95" customHeight="1" x14ac:dyDescent="0.3">
      <c r="A7" s="20" t="s">
        <v>197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196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194</v>
      </c>
      <c r="B9" s="16" t="s">
        <v>194</v>
      </c>
      <c r="C9" s="14" t="s">
        <v>195</v>
      </c>
      <c r="D9" s="13">
        <v>-12000</v>
      </c>
      <c r="E9" s="14" t="s">
        <v>25</v>
      </c>
      <c r="F9" s="15">
        <v>944.94</v>
      </c>
      <c r="G9" s="14" t="s">
        <v>25</v>
      </c>
      <c r="H9" s="14" t="s">
        <v>32</v>
      </c>
      <c r="I9" s="14"/>
      <c r="J9" s="14" t="s">
        <v>27</v>
      </c>
      <c r="K9" s="14" t="s">
        <v>27</v>
      </c>
      <c r="L9" s="14"/>
    </row>
    <row r="10" spans="1:12" ht="22.95" customHeight="1" x14ac:dyDescent="0.3">
      <c r="A10" s="16" t="s">
        <v>194</v>
      </c>
      <c r="B10" s="16" t="s">
        <v>194</v>
      </c>
      <c r="C10" s="14" t="s">
        <v>33</v>
      </c>
      <c r="D10" s="13">
        <v>8800</v>
      </c>
      <c r="E10" s="14" t="s">
        <v>25</v>
      </c>
      <c r="F10" s="15">
        <v>12944.94</v>
      </c>
      <c r="G10" s="14" t="s">
        <v>25</v>
      </c>
      <c r="H10" s="14" t="s">
        <v>26</v>
      </c>
      <c r="I10" s="14"/>
      <c r="J10" s="14" t="s">
        <v>27</v>
      </c>
      <c r="K10" s="14" t="s">
        <v>27</v>
      </c>
      <c r="L10" s="14"/>
    </row>
    <row r="11" spans="1:12" ht="22.95" customHeight="1" x14ac:dyDescent="0.3">
      <c r="A11" s="16" t="s">
        <v>194</v>
      </c>
      <c r="B11" s="16" t="s">
        <v>194</v>
      </c>
      <c r="C11" s="14" t="s">
        <v>193</v>
      </c>
      <c r="D11" s="13">
        <v>2274.8000000000002</v>
      </c>
      <c r="E11" s="14" t="s">
        <v>25</v>
      </c>
      <c r="F11" s="15">
        <v>4144.9399999999996</v>
      </c>
      <c r="G11" s="14" t="s">
        <v>25</v>
      </c>
      <c r="H11" s="14" t="s">
        <v>26</v>
      </c>
      <c r="I11" s="14" t="s">
        <v>27</v>
      </c>
      <c r="J11" s="14" t="s">
        <v>27</v>
      </c>
      <c r="K11" s="14"/>
    </row>
    <row r="12" spans="1:12" ht="22.95" customHeight="1" x14ac:dyDescent="0.3">
      <c r="A12" s="16" t="s">
        <v>191</v>
      </c>
      <c r="B12" s="16" t="s">
        <v>191</v>
      </c>
      <c r="C12" s="14" t="s">
        <v>192</v>
      </c>
      <c r="D12" s="13">
        <v>-16000</v>
      </c>
      <c r="E12" s="14" t="s">
        <v>25</v>
      </c>
      <c r="F12" s="15">
        <v>1870.14</v>
      </c>
      <c r="G12" s="14" t="s">
        <v>25</v>
      </c>
      <c r="H12" s="14" t="s">
        <v>32</v>
      </c>
      <c r="I12" s="14" t="s">
        <v>27</v>
      </c>
      <c r="J12" s="14" t="s">
        <v>27</v>
      </c>
      <c r="K12" s="14"/>
    </row>
    <row r="13" spans="1:12" ht="22.95" customHeight="1" x14ac:dyDescent="0.3">
      <c r="A13" s="16" t="s">
        <v>191</v>
      </c>
      <c r="B13" s="16" t="s">
        <v>191</v>
      </c>
      <c r="C13" s="14" t="s">
        <v>33</v>
      </c>
      <c r="D13" s="13">
        <v>9000</v>
      </c>
      <c r="E13" s="14" t="s">
        <v>25</v>
      </c>
      <c r="F13" s="15">
        <v>17870.14</v>
      </c>
      <c r="G13" s="14" t="s">
        <v>25</v>
      </c>
      <c r="H13" s="14" t="s">
        <v>26</v>
      </c>
      <c r="I13" s="14" t="s">
        <v>27</v>
      </c>
      <c r="J13" s="14" t="s">
        <v>27</v>
      </c>
      <c r="K13" s="14"/>
    </row>
    <row r="14" spans="1:12" ht="22.95" customHeight="1" x14ac:dyDescent="0.3">
      <c r="A14" s="16" t="s">
        <v>190</v>
      </c>
      <c r="B14" s="16" t="s">
        <v>189</v>
      </c>
      <c r="C14" s="14" t="s">
        <v>36</v>
      </c>
      <c r="D14" s="13">
        <v>-441.97</v>
      </c>
      <c r="E14" s="14" t="s">
        <v>25</v>
      </c>
      <c r="F14" s="15">
        <v>8870.14</v>
      </c>
      <c r="G14" s="14" t="s">
        <v>25</v>
      </c>
      <c r="H14" s="14" t="s">
        <v>37</v>
      </c>
      <c r="I14" s="14" t="s">
        <v>38</v>
      </c>
      <c r="J14" s="14" t="s">
        <v>27</v>
      </c>
      <c r="K14" s="14"/>
    </row>
    <row r="15" spans="1:12" ht="22.95" customHeight="1" x14ac:dyDescent="0.3">
      <c r="A15" s="16" t="s">
        <v>188</v>
      </c>
      <c r="B15" s="16" t="s">
        <v>188</v>
      </c>
      <c r="C15" s="14" t="s">
        <v>99</v>
      </c>
      <c r="D15" s="13">
        <v>7260.01</v>
      </c>
      <c r="E15" s="14" t="s">
        <v>25</v>
      </c>
      <c r="F15" s="15">
        <v>9312.11</v>
      </c>
      <c r="G15" s="14" t="s">
        <v>25</v>
      </c>
      <c r="H15" s="14" t="s">
        <v>26</v>
      </c>
      <c r="I15" s="14" t="s">
        <v>27</v>
      </c>
      <c r="J15" s="14" t="s">
        <v>27</v>
      </c>
      <c r="K15" s="14"/>
    </row>
    <row r="16" spans="1:12" ht="22.95" customHeight="1" x14ac:dyDescent="0.3">
      <c r="A16" s="16" t="s">
        <v>186</v>
      </c>
      <c r="B16" s="16" t="s">
        <v>186</v>
      </c>
      <c r="C16" s="14" t="s">
        <v>187</v>
      </c>
      <c r="D16" s="13">
        <v>-30000</v>
      </c>
      <c r="E16" s="14" t="s">
        <v>25</v>
      </c>
      <c r="F16" s="15">
        <v>2052.1</v>
      </c>
      <c r="G16" s="14" t="s">
        <v>25</v>
      </c>
      <c r="H16" s="14" t="s">
        <v>32</v>
      </c>
      <c r="I16" s="14" t="s">
        <v>27</v>
      </c>
      <c r="J16" s="14" t="s">
        <v>27</v>
      </c>
      <c r="K16" s="14"/>
    </row>
    <row r="17" spans="1:11" ht="22.95" customHeight="1" x14ac:dyDescent="0.3">
      <c r="A17" s="16" t="s">
        <v>186</v>
      </c>
      <c r="B17" s="16" t="s">
        <v>186</v>
      </c>
      <c r="C17" s="14" t="s">
        <v>33</v>
      </c>
      <c r="D17" s="13">
        <v>10000</v>
      </c>
      <c r="E17" s="14" t="s">
        <v>25</v>
      </c>
      <c r="F17" s="15">
        <v>32052.1</v>
      </c>
      <c r="G17" s="14" t="s">
        <v>25</v>
      </c>
      <c r="H17" s="14" t="s">
        <v>26</v>
      </c>
      <c r="I17" s="14" t="s">
        <v>27</v>
      </c>
      <c r="J17" s="14" t="s">
        <v>27</v>
      </c>
      <c r="K17" s="14"/>
    </row>
    <row r="18" spans="1:11" ht="22.95" customHeight="1" x14ac:dyDescent="0.3">
      <c r="A18" s="16" t="s">
        <v>185</v>
      </c>
      <c r="B18" s="16" t="s">
        <v>185</v>
      </c>
      <c r="C18" s="14" t="s">
        <v>59</v>
      </c>
      <c r="D18" s="13">
        <v>3529.17</v>
      </c>
      <c r="E18" s="14" t="s">
        <v>25</v>
      </c>
      <c r="F18" s="15">
        <v>22052.1</v>
      </c>
      <c r="G18" s="14" t="s">
        <v>25</v>
      </c>
      <c r="H18" s="14" t="s">
        <v>26</v>
      </c>
      <c r="I18" s="14" t="s">
        <v>27</v>
      </c>
      <c r="J18" s="14" t="s">
        <v>27</v>
      </c>
      <c r="K18" s="14"/>
    </row>
    <row r="19" spans="1:11" ht="22.95" customHeight="1" x14ac:dyDescent="0.3">
      <c r="A19" s="16" t="s">
        <v>185</v>
      </c>
      <c r="B19" s="16" t="s">
        <v>185</v>
      </c>
      <c r="C19" s="14" t="s">
        <v>54</v>
      </c>
      <c r="D19" s="13">
        <v>-5775.85</v>
      </c>
      <c r="E19" s="14" t="s">
        <v>25</v>
      </c>
      <c r="F19" s="15">
        <v>18522.93</v>
      </c>
      <c r="G19" s="14" t="s">
        <v>25</v>
      </c>
      <c r="H19" s="14" t="s">
        <v>37</v>
      </c>
      <c r="I19" s="14" t="s">
        <v>27</v>
      </c>
      <c r="J19" s="14" t="s">
        <v>27</v>
      </c>
      <c r="K19" s="14"/>
    </row>
    <row r="20" spans="1:11" ht="22.95" customHeight="1" x14ac:dyDescent="0.3">
      <c r="A20" s="16" t="s">
        <v>184</v>
      </c>
      <c r="B20" s="16" t="s">
        <v>184</v>
      </c>
      <c r="C20" s="14" t="s">
        <v>52</v>
      </c>
      <c r="D20" s="13">
        <v>2497.44</v>
      </c>
      <c r="E20" s="14" t="s">
        <v>25</v>
      </c>
      <c r="F20" s="15">
        <v>24298.78</v>
      </c>
      <c r="G20" s="14" t="s">
        <v>25</v>
      </c>
      <c r="H20" s="14" t="s">
        <v>26</v>
      </c>
      <c r="I20" s="14" t="s">
        <v>27</v>
      </c>
      <c r="J20" s="14" t="s">
        <v>27</v>
      </c>
      <c r="K20" s="14"/>
    </row>
  </sheetData>
  <mergeCells count="3">
    <mergeCell ref="A1:B5"/>
    <mergeCell ref="A7:C7"/>
    <mergeCell ref="D7:J7"/>
  </mergeCells>
  <conditionalFormatting sqref="D9:D20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6B5E-5FCF-45AD-B859-10C41C6F9B24}">
  <dimension ref="A1:L18"/>
  <sheetViews>
    <sheetView topLeftCell="A7" workbookViewId="0">
      <selection activeCell="I9" sqref="I9:I17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215</v>
      </c>
      <c r="E3" s="14" t="s">
        <v>215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214</v>
      </c>
    </row>
    <row r="7" spans="1:12" ht="13.95" customHeight="1" x14ac:dyDescent="0.3">
      <c r="A7" s="20" t="s">
        <v>213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212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211</v>
      </c>
      <c r="B9" s="16" t="s">
        <v>211</v>
      </c>
      <c r="C9" s="14" t="s">
        <v>210</v>
      </c>
      <c r="D9" s="13">
        <v>17319.939999999999</v>
      </c>
      <c r="E9" s="14" t="s">
        <v>25</v>
      </c>
      <c r="F9" s="15">
        <v>28125.279999999999</v>
      </c>
      <c r="G9" s="14" t="s">
        <v>25</v>
      </c>
      <c r="H9" s="14" t="s">
        <v>26</v>
      </c>
      <c r="I9" s="14" t="s">
        <v>27</v>
      </c>
      <c r="J9" s="14" t="s">
        <v>27</v>
      </c>
      <c r="K9" s="14"/>
    </row>
    <row r="10" spans="1:12" ht="22.95" customHeight="1" x14ac:dyDescent="0.3">
      <c r="A10" s="16" t="s">
        <v>209</v>
      </c>
      <c r="B10" s="16" t="s">
        <v>209</v>
      </c>
      <c r="C10" s="14" t="s">
        <v>208</v>
      </c>
      <c r="D10" s="13">
        <v>8016.25</v>
      </c>
      <c r="E10" s="14" t="s">
        <v>25</v>
      </c>
      <c r="F10" s="15">
        <v>10805.34</v>
      </c>
      <c r="G10" s="14" t="s">
        <v>25</v>
      </c>
      <c r="H10" s="14" t="s">
        <v>26</v>
      </c>
      <c r="I10" s="14" t="s">
        <v>27</v>
      </c>
      <c r="J10" s="14" t="s">
        <v>27</v>
      </c>
      <c r="K10" s="14"/>
    </row>
    <row r="11" spans="1:12" ht="22.95" customHeight="1" x14ac:dyDescent="0.3">
      <c r="A11" s="16" t="s">
        <v>207</v>
      </c>
      <c r="B11" s="16" t="s">
        <v>207</v>
      </c>
      <c r="C11" s="14" t="s">
        <v>81</v>
      </c>
      <c r="D11" s="13">
        <v>-12000</v>
      </c>
      <c r="E11" s="14" t="s">
        <v>25</v>
      </c>
      <c r="F11" s="15">
        <v>2789.09</v>
      </c>
      <c r="G11" s="14" t="s">
        <v>25</v>
      </c>
      <c r="H11" s="14" t="s">
        <v>32</v>
      </c>
      <c r="I11" s="14" t="s">
        <v>27</v>
      </c>
      <c r="J11" s="14" t="s">
        <v>27</v>
      </c>
      <c r="K11" s="14"/>
    </row>
    <row r="12" spans="1:12" ht="22.95" customHeight="1" x14ac:dyDescent="0.3">
      <c r="A12" s="16" t="s">
        <v>207</v>
      </c>
      <c r="B12" s="16" t="s">
        <v>207</v>
      </c>
      <c r="C12" s="14" t="s">
        <v>206</v>
      </c>
      <c r="D12" s="13">
        <v>12100</v>
      </c>
      <c r="E12" s="14" t="s">
        <v>25</v>
      </c>
      <c r="F12" s="15">
        <v>14789.09</v>
      </c>
      <c r="G12" s="14" t="s">
        <v>25</v>
      </c>
      <c r="H12" s="14" t="s">
        <v>26</v>
      </c>
      <c r="I12" s="14" t="s">
        <v>27</v>
      </c>
      <c r="J12" s="14" t="s">
        <v>27</v>
      </c>
      <c r="K12" s="14"/>
    </row>
    <row r="13" spans="1:12" ht="22.95" customHeight="1" x14ac:dyDescent="0.3">
      <c r="A13" s="16" t="s">
        <v>204</v>
      </c>
      <c r="B13" s="16" t="s">
        <v>204</v>
      </c>
      <c r="C13" s="14" t="s">
        <v>205</v>
      </c>
      <c r="D13" s="13">
        <v>-20000</v>
      </c>
      <c r="E13" s="14" t="s">
        <v>25</v>
      </c>
      <c r="F13" s="15">
        <v>2689.09</v>
      </c>
      <c r="G13" s="14" t="s">
        <v>25</v>
      </c>
      <c r="H13" s="14" t="s">
        <v>32</v>
      </c>
      <c r="I13" s="14" t="s">
        <v>27</v>
      </c>
      <c r="J13" s="14" t="s">
        <v>27</v>
      </c>
      <c r="K13" s="14"/>
    </row>
    <row r="14" spans="1:12" ht="22.95" customHeight="1" x14ac:dyDescent="0.3">
      <c r="A14" s="16" t="s">
        <v>204</v>
      </c>
      <c r="B14" s="16" t="s">
        <v>204</v>
      </c>
      <c r="C14" s="14" t="s">
        <v>33</v>
      </c>
      <c r="D14" s="13">
        <v>10000</v>
      </c>
      <c r="E14" s="14" t="s">
        <v>25</v>
      </c>
      <c r="F14" s="15">
        <v>22689.09</v>
      </c>
      <c r="G14" s="14" t="s">
        <v>25</v>
      </c>
      <c r="H14" s="14" t="s">
        <v>26</v>
      </c>
      <c r="I14" s="14" t="s">
        <v>27</v>
      </c>
      <c r="J14" s="14" t="s">
        <v>27</v>
      </c>
      <c r="K14" s="14"/>
    </row>
    <row r="15" spans="1:12" ht="22.95" customHeight="1" x14ac:dyDescent="0.3">
      <c r="A15" s="16" t="s">
        <v>203</v>
      </c>
      <c r="B15" s="16" t="s">
        <v>203</v>
      </c>
      <c r="C15" s="14" t="s">
        <v>59</v>
      </c>
      <c r="D15" s="13">
        <v>3529.17</v>
      </c>
      <c r="E15" s="14" t="s">
        <v>25</v>
      </c>
      <c r="F15" s="15">
        <v>12689.09</v>
      </c>
      <c r="G15" s="14" t="s">
        <v>25</v>
      </c>
      <c r="H15" s="14" t="s">
        <v>26</v>
      </c>
      <c r="I15" s="14" t="s">
        <v>27</v>
      </c>
      <c r="J15" s="14" t="s">
        <v>27</v>
      </c>
      <c r="K15" s="14"/>
    </row>
    <row r="16" spans="1:12" ht="22.95" customHeight="1" x14ac:dyDescent="0.3">
      <c r="A16" s="16" t="s">
        <v>203</v>
      </c>
      <c r="B16" s="16" t="s">
        <v>203</v>
      </c>
      <c r="C16" s="14" t="s">
        <v>54</v>
      </c>
      <c r="D16" s="13">
        <v>-5775.85</v>
      </c>
      <c r="E16" s="14" t="s">
        <v>25</v>
      </c>
      <c r="F16" s="15">
        <v>9159.92</v>
      </c>
      <c r="G16" s="14" t="s">
        <v>25</v>
      </c>
      <c r="H16" s="14" t="s">
        <v>37</v>
      </c>
      <c r="I16" s="14" t="s">
        <v>27</v>
      </c>
      <c r="J16" s="14" t="s">
        <v>27</v>
      </c>
      <c r="K16" s="14"/>
    </row>
    <row r="17" spans="1:12" ht="22.95" customHeight="1" x14ac:dyDescent="0.3">
      <c r="A17" s="16" t="s">
        <v>202</v>
      </c>
      <c r="B17" s="16" t="s">
        <v>202</v>
      </c>
      <c r="C17" s="14" t="s">
        <v>99</v>
      </c>
      <c r="D17" s="13">
        <v>14520</v>
      </c>
      <c r="E17" s="14" t="s">
        <v>25</v>
      </c>
      <c r="F17" s="15">
        <v>14935.77</v>
      </c>
      <c r="G17" s="14" t="s">
        <v>25</v>
      </c>
      <c r="H17" s="14" t="s">
        <v>26</v>
      </c>
      <c r="I17" s="14" t="s">
        <v>27</v>
      </c>
      <c r="J17" s="14" t="s">
        <v>27</v>
      </c>
      <c r="K17" s="14"/>
    </row>
    <row r="18" spans="1:12" ht="22.95" customHeight="1" x14ac:dyDescent="0.3">
      <c r="A18" s="16" t="s">
        <v>201</v>
      </c>
      <c r="B18" s="16" t="s">
        <v>201</v>
      </c>
      <c r="C18" s="14" t="s">
        <v>200</v>
      </c>
      <c r="D18" s="13">
        <v>-529.16999999999996</v>
      </c>
      <c r="E18" s="14" t="s">
        <v>25</v>
      </c>
      <c r="F18" s="15">
        <v>415.77</v>
      </c>
      <c r="G18" s="14" t="s">
        <v>25</v>
      </c>
      <c r="H18" s="14" t="s">
        <v>199</v>
      </c>
      <c r="I18" s="14"/>
      <c r="J18" s="14" t="s">
        <v>27</v>
      </c>
      <c r="K18" s="14" t="s">
        <v>27</v>
      </c>
      <c r="L18" s="14"/>
    </row>
  </sheetData>
  <mergeCells count="3">
    <mergeCell ref="A1:B5"/>
    <mergeCell ref="A7:C7"/>
    <mergeCell ref="D7:J7"/>
  </mergeCells>
  <conditionalFormatting sqref="D9:D18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82F0-761B-4FA8-A30D-AE3064EE6BC5}">
  <dimension ref="A1:L23"/>
  <sheetViews>
    <sheetView topLeftCell="A3" zoomScale="80" zoomScaleNormal="80" workbookViewId="0">
      <selection activeCell="I22" sqref="I22:J23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8" t="s">
        <v>0</v>
      </c>
      <c r="D2" s="18" t="s">
        <v>1</v>
      </c>
      <c r="E2" s="18" t="s">
        <v>2</v>
      </c>
    </row>
    <row r="3" spans="1:12" ht="16.05" customHeight="1" x14ac:dyDescent="0.3">
      <c r="A3" s="19"/>
      <c r="B3" s="19"/>
      <c r="C3" s="14" t="s">
        <v>3</v>
      </c>
      <c r="D3" s="14" t="s">
        <v>216</v>
      </c>
      <c r="E3" s="14" t="s">
        <v>216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8" t="s">
        <v>5</v>
      </c>
      <c r="D5" s="18" t="s">
        <v>6</v>
      </c>
      <c r="E5" s="18" t="s">
        <v>7</v>
      </c>
    </row>
    <row r="6" spans="1:12" ht="15" customHeight="1" x14ac:dyDescent="0.3">
      <c r="C6" s="14" t="s">
        <v>8</v>
      </c>
      <c r="D6" s="14" t="s">
        <v>9</v>
      </c>
      <c r="E6" s="14" t="s">
        <v>216</v>
      </c>
    </row>
    <row r="7" spans="1:12" ht="13.95" customHeight="1" x14ac:dyDescent="0.3">
      <c r="A7" s="20" t="s">
        <v>217</v>
      </c>
      <c r="B7" s="19"/>
      <c r="C7" s="19"/>
      <c r="D7" s="19"/>
      <c r="E7" s="19"/>
      <c r="F7" s="19"/>
      <c r="G7" s="19"/>
      <c r="H7" s="19"/>
      <c r="I7" s="19"/>
      <c r="J7" s="19"/>
      <c r="K7" s="14" t="s">
        <v>218</v>
      </c>
    </row>
    <row r="8" spans="1:12" ht="19.05" customHeight="1" x14ac:dyDescent="0.3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16</v>
      </c>
      <c r="H8" s="17" t="s">
        <v>18</v>
      </c>
      <c r="I8" s="17" t="s">
        <v>19</v>
      </c>
      <c r="J8" s="17" t="s">
        <v>20</v>
      </c>
      <c r="K8" s="17" t="s">
        <v>21</v>
      </c>
      <c r="L8" s="17" t="s">
        <v>22</v>
      </c>
    </row>
    <row r="9" spans="1:12" ht="22.95" customHeight="1" x14ac:dyDescent="0.3">
      <c r="A9" s="16" t="s">
        <v>219</v>
      </c>
      <c r="B9" s="16" t="s">
        <v>219</v>
      </c>
      <c r="C9" s="14" t="s">
        <v>164</v>
      </c>
      <c r="D9" s="13">
        <v>-8000</v>
      </c>
      <c r="E9" s="14" t="s">
        <v>25</v>
      </c>
      <c r="F9" s="15">
        <v>4631.99</v>
      </c>
      <c r="G9" s="14" t="s">
        <v>25</v>
      </c>
      <c r="H9" s="14" t="s">
        <v>32</v>
      </c>
      <c r="I9" s="14"/>
      <c r="J9" s="14" t="s">
        <v>27</v>
      </c>
      <c r="K9" s="14" t="s">
        <v>27</v>
      </c>
      <c r="L9" s="14"/>
    </row>
    <row r="10" spans="1:12" ht="22.95" customHeight="1" x14ac:dyDescent="0.3">
      <c r="A10" s="16" t="s">
        <v>219</v>
      </c>
      <c r="B10" s="16" t="s">
        <v>219</v>
      </c>
      <c r="C10" s="14" t="s">
        <v>59</v>
      </c>
      <c r="D10" s="13">
        <v>3529.17</v>
      </c>
      <c r="E10" s="14" t="s">
        <v>25</v>
      </c>
      <c r="F10" s="15">
        <v>12631.99</v>
      </c>
      <c r="G10" s="14" t="s">
        <v>25</v>
      </c>
      <c r="H10" s="14" t="s">
        <v>26</v>
      </c>
      <c r="I10" s="14" t="s">
        <v>27</v>
      </c>
      <c r="J10" s="14" t="s">
        <v>27</v>
      </c>
      <c r="K10" s="14"/>
    </row>
    <row r="11" spans="1:12" ht="22.95" customHeight="1" x14ac:dyDescent="0.3">
      <c r="A11" s="16" t="s">
        <v>219</v>
      </c>
      <c r="B11" s="16" t="s">
        <v>219</v>
      </c>
      <c r="C11" s="14" t="s">
        <v>220</v>
      </c>
      <c r="D11" s="13">
        <v>8220.74</v>
      </c>
      <c r="E11" s="14" t="s">
        <v>25</v>
      </c>
      <c r="F11" s="15">
        <v>9102.82</v>
      </c>
      <c r="G11" s="14" t="s">
        <v>25</v>
      </c>
      <c r="H11" s="14" t="s">
        <v>26</v>
      </c>
      <c r="I11" s="14" t="s">
        <v>27</v>
      </c>
      <c r="J11" s="14" t="s">
        <v>27</v>
      </c>
      <c r="K11" s="14"/>
    </row>
    <row r="12" spans="1:12" ht="22.95" customHeight="1" x14ac:dyDescent="0.3">
      <c r="A12" s="16" t="s">
        <v>221</v>
      </c>
      <c r="B12" s="16" t="s">
        <v>221</v>
      </c>
      <c r="C12" s="14" t="s">
        <v>187</v>
      </c>
      <c r="D12" s="13">
        <v>-17000</v>
      </c>
      <c r="E12" s="14" t="s">
        <v>25</v>
      </c>
      <c r="F12" s="15">
        <v>882.08</v>
      </c>
      <c r="G12" s="14" t="s">
        <v>25</v>
      </c>
      <c r="H12" s="14" t="s">
        <v>32</v>
      </c>
      <c r="I12" s="14" t="s">
        <v>27</v>
      </c>
      <c r="J12" s="14" t="s">
        <v>27</v>
      </c>
      <c r="K12" s="14"/>
    </row>
    <row r="13" spans="1:12" ht="22.95" customHeight="1" x14ac:dyDescent="0.3">
      <c r="A13" s="16" t="s">
        <v>222</v>
      </c>
      <c r="B13" s="16" t="s">
        <v>223</v>
      </c>
      <c r="C13" s="14" t="s">
        <v>224</v>
      </c>
      <c r="D13" s="13">
        <v>5174.93</v>
      </c>
      <c r="E13" s="14" t="s">
        <v>25</v>
      </c>
      <c r="F13" s="15">
        <v>17882.080000000002</v>
      </c>
      <c r="G13" s="14" t="s">
        <v>25</v>
      </c>
      <c r="H13" s="14" t="s">
        <v>26</v>
      </c>
      <c r="I13" s="14" t="s">
        <v>27</v>
      </c>
      <c r="J13" s="14" t="s">
        <v>27</v>
      </c>
      <c r="K13" s="14"/>
    </row>
    <row r="14" spans="1:12" ht="22.95" customHeight="1" x14ac:dyDescent="0.3">
      <c r="A14" s="16" t="s">
        <v>223</v>
      </c>
      <c r="B14" s="16" t="s">
        <v>223</v>
      </c>
      <c r="C14" s="14" t="s">
        <v>225</v>
      </c>
      <c r="D14" s="13">
        <v>8684.17</v>
      </c>
      <c r="E14" s="14" t="s">
        <v>25</v>
      </c>
      <c r="F14" s="15">
        <v>12707.15</v>
      </c>
      <c r="G14" s="14" t="s">
        <v>25</v>
      </c>
      <c r="H14" s="14" t="s">
        <v>26</v>
      </c>
      <c r="I14" s="14" t="s">
        <v>27</v>
      </c>
      <c r="J14" s="14" t="s">
        <v>27</v>
      </c>
      <c r="K14" s="14"/>
    </row>
    <row r="15" spans="1:12" ht="22.95" customHeight="1" x14ac:dyDescent="0.3">
      <c r="A15" s="16" t="s">
        <v>226</v>
      </c>
      <c r="B15" s="16" t="s">
        <v>227</v>
      </c>
      <c r="C15" s="14" t="s">
        <v>54</v>
      </c>
      <c r="D15" s="13">
        <v>-5775.85</v>
      </c>
      <c r="E15" s="14" t="s">
        <v>25</v>
      </c>
      <c r="F15" s="15">
        <v>4022.98</v>
      </c>
      <c r="G15" s="14" t="s">
        <v>25</v>
      </c>
      <c r="H15" s="14" t="s">
        <v>37</v>
      </c>
      <c r="I15" s="14" t="s">
        <v>27</v>
      </c>
      <c r="J15" s="14" t="s">
        <v>27</v>
      </c>
      <c r="K15" s="14"/>
    </row>
    <row r="16" spans="1:12" ht="22.95" customHeight="1" x14ac:dyDescent="0.3">
      <c r="A16" s="16" t="s">
        <v>228</v>
      </c>
      <c r="B16" s="16" t="s">
        <v>228</v>
      </c>
      <c r="C16" s="14" t="s">
        <v>59</v>
      </c>
      <c r="D16" s="13">
        <v>3529.17</v>
      </c>
      <c r="E16" s="14" t="s">
        <v>25</v>
      </c>
      <c r="F16" s="15">
        <v>9798.83</v>
      </c>
      <c r="G16" s="14" t="s">
        <v>25</v>
      </c>
      <c r="H16" s="14" t="s">
        <v>26</v>
      </c>
      <c r="I16" s="14" t="s">
        <v>27</v>
      </c>
      <c r="J16" s="14" t="s">
        <v>27</v>
      </c>
      <c r="K16" s="14"/>
    </row>
    <row r="17" spans="1:11" ht="22.95" customHeight="1" x14ac:dyDescent="0.3">
      <c r="A17" s="16" t="s">
        <v>229</v>
      </c>
      <c r="B17" s="16" t="s">
        <v>229</v>
      </c>
      <c r="C17" s="14" t="s">
        <v>187</v>
      </c>
      <c r="D17" s="13">
        <v>-36000</v>
      </c>
      <c r="E17" s="14" t="s">
        <v>25</v>
      </c>
      <c r="F17" s="15">
        <v>6269.66</v>
      </c>
      <c r="G17" s="14" t="s">
        <v>25</v>
      </c>
      <c r="H17" s="14" t="s">
        <v>32</v>
      </c>
      <c r="I17" s="14" t="s">
        <v>27</v>
      </c>
      <c r="J17" s="14" t="s">
        <v>27</v>
      </c>
      <c r="K17" s="14"/>
    </row>
    <row r="18" spans="1:11" ht="22.95" customHeight="1" x14ac:dyDescent="0.3">
      <c r="A18" s="16" t="s">
        <v>229</v>
      </c>
      <c r="B18" s="16" t="s">
        <v>229</v>
      </c>
      <c r="C18" s="14" t="s">
        <v>230</v>
      </c>
      <c r="D18" s="13">
        <v>36080.65</v>
      </c>
      <c r="E18" s="14" t="s">
        <v>25</v>
      </c>
      <c r="F18" s="15">
        <v>42269.66</v>
      </c>
      <c r="G18" s="14" t="s">
        <v>25</v>
      </c>
      <c r="H18" s="14" t="s">
        <v>26</v>
      </c>
      <c r="I18" s="14" t="s">
        <v>27</v>
      </c>
      <c r="J18" s="14" t="s">
        <v>27</v>
      </c>
      <c r="K18" s="14"/>
    </row>
    <row r="19" spans="1:11" ht="22.95" customHeight="1" x14ac:dyDescent="0.3">
      <c r="A19" s="16" t="s">
        <v>229</v>
      </c>
      <c r="B19" s="16" t="s">
        <v>231</v>
      </c>
      <c r="C19" s="14" t="s">
        <v>232</v>
      </c>
      <c r="D19" s="13">
        <v>1293.73</v>
      </c>
      <c r="E19" s="14" t="s">
        <v>25</v>
      </c>
      <c r="F19" s="15">
        <v>6189.01</v>
      </c>
      <c r="G19" s="14" t="s">
        <v>25</v>
      </c>
      <c r="H19" s="14" t="s">
        <v>26</v>
      </c>
      <c r="I19" s="14" t="s">
        <v>27</v>
      </c>
      <c r="J19" s="14" t="s">
        <v>27</v>
      </c>
      <c r="K19" s="14"/>
    </row>
    <row r="20" spans="1:11" ht="22.95" customHeight="1" x14ac:dyDescent="0.3">
      <c r="A20" s="16" t="s">
        <v>229</v>
      </c>
      <c r="B20" s="16" t="s">
        <v>231</v>
      </c>
      <c r="C20" s="14" t="s">
        <v>91</v>
      </c>
      <c r="D20" s="13">
        <v>-90</v>
      </c>
      <c r="E20" s="14" t="s">
        <v>25</v>
      </c>
      <c r="F20" s="15">
        <v>4895.28</v>
      </c>
      <c r="G20" s="14" t="s">
        <v>25</v>
      </c>
      <c r="H20" s="14" t="s">
        <v>37</v>
      </c>
      <c r="I20" s="14" t="s">
        <v>27</v>
      </c>
      <c r="J20" s="14" t="s">
        <v>27</v>
      </c>
      <c r="K20" s="14"/>
    </row>
    <row r="21" spans="1:11" ht="22.95" customHeight="1" x14ac:dyDescent="0.3">
      <c r="A21" s="16" t="s">
        <v>231</v>
      </c>
      <c r="B21" s="16" t="s">
        <v>231</v>
      </c>
      <c r="C21" s="14" t="s">
        <v>187</v>
      </c>
      <c r="D21" s="13">
        <v>-44000</v>
      </c>
      <c r="E21" s="14" t="s">
        <v>25</v>
      </c>
      <c r="F21" s="15">
        <v>4985.28</v>
      </c>
      <c r="G21" s="14" t="s">
        <v>25</v>
      </c>
      <c r="H21" s="14" t="s">
        <v>32</v>
      </c>
      <c r="I21" s="14" t="s">
        <v>27</v>
      </c>
      <c r="J21" s="14" t="s">
        <v>27</v>
      </c>
      <c r="K21" s="14"/>
    </row>
    <row r="22" spans="1:11" ht="22.95" customHeight="1" x14ac:dyDescent="0.3">
      <c r="A22" s="16" t="s">
        <v>231</v>
      </c>
      <c r="B22" s="16" t="s">
        <v>231</v>
      </c>
      <c r="C22" s="14" t="s">
        <v>233</v>
      </c>
      <c r="D22" s="13">
        <v>20000</v>
      </c>
      <c r="E22" s="14" t="s">
        <v>25</v>
      </c>
      <c r="F22" s="15">
        <v>48985.279999999999</v>
      </c>
      <c r="G22" s="14" t="s">
        <v>25</v>
      </c>
      <c r="H22" s="14" t="s">
        <v>26</v>
      </c>
      <c r="I22" s="14"/>
    </row>
    <row r="23" spans="1:11" ht="22.95" customHeight="1" x14ac:dyDescent="0.3">
      <c r="A23" s="16" t="s">
        <v>231</v>
      </c>
      <c r="B23" s="16" t="s">
        <v>231</v>
      </c>
      <c r="C23" s="14" t="s">
        <v>234</v>
      </c>
      <c r="D23" s="13">
        <v>860</v>
      </c>
      <c r="E23" s="14" t="s">
        <v>25</v>
      </c>
      <c r="F23" s="15">
        <v>28985.279999999999</v>
      </c>
      <c r="G23" s="14" t="s">
        <v>25</v>
      </c>
      <c r="H23" s="14" t="s">
        <v>235</v>
      </c>
      <c r="I23" s="14"/>
    </row>
  </sheetData>
  <mergeCells count="3">
    <mergeCell ref="A1:B5"/>
    <mergeCell ref="A7:C7"/>
    <mergeCell ref="D7:J7"/>
  </mergeCells>
  <conditionalFormatting sqref="D9:D2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2025-02-26T09:27:24Z</dcterms:created>
  <dcterms:modified xsi:type="dcterms:W3CDTF">2026-02-25T08:57:20Z</dcterms:modified>
</cp:coreProperties>
</file>