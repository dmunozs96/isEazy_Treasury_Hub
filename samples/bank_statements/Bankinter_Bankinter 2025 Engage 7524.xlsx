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170" documentId="11_F301EAFF6846A737124EA92E4A9A1064E6B98715" xr6:coauthVersionLast="47" xr6:coauthVersionMax="47" xr10:uidLastSave="{03C79F14-FFD4-4AF3-9076-D89A23FDFC1C}"/>
  <bookViews>
    <workbookView xWindow="28680" yWindow="-30" windowWidth="29040" windowHeight="15720" xr2:uid="{00000000-000D-0000-FFFF-FFFF00000000}"/>
  </bookViews>
  <sheets>
    <sheet name="Ene-Feb" sheetId="1" r:id="rId1"/>
    <sheet name="MARZO" sheetId="2" r:id="rId2"/>
    <sheet name="ABRIL" sheetId="3" r:id="rId3"/>
    <sheet name="MAYO" sheetId="5" r:id="rId4"/>
    <sheet name="JUNIO" sheetId="6" r:id="rId5"/>
    <sheet name="JULIO" sheetId="7" r:id="rId6"/>
    <sheet name="AGOSTO" sheetId="8" r:id="rId7"/>
    <sheet name="SEPTIEMBRE" sheetId="9" r:id="rId8"/>
    <sheet name="OCTUBRE" sheetId="10" r:id="rId9"/>
    <sheet name="NOVIEMBRE" sheetId="11" r:id="rId10"/>
    <sheet name="DICIEMBRE" sheetId="12" r:id="rId11"/>
  </sheets>
  <definedNames>
    <definedName name="_xlnm._FilterDatabase" localSheetId="0" hidden="1">'Ene-Feb'!$A$6:$J$25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<sst xmlns="http://schemas.openxmlformats.org/spreadsheetml/2006/main" count="710" uniqueCount="206">
  <si>
    <t>Número de Cuenta: ES2801287701420100007524</t>
  </si>
  <si>
    <t>Saldo Disponible</t>
  </si>
  <si>
    <t>Empresa: ISEAZY ENGAGE SL</t>
  </si>
  <si>
    <t>Abono Pendiente</t>
  </si>
  <si>
    <t>Fecha de generación: 18/2/2025 13:05:56</t>
  </si>
  <si>
    <t>Total Retenciones</t>
  </si>
  <si>
    <t>Filtros: Fecha: 01/01/2025-31/01/2025</t>
  </si>
  <si>
    <t>Saldo</t>
  </si>
  <si>
    <t>FECHA CONTABLE</t>
  </si>
  <si>
    <t>FECHA VALOR</t>
  </si>
  <si>
    <t>CLAVE</t>
  </si>
  <si>
    <t>REFERENCIA</t>
  </si>
  <si>
    <t>CATEGORÍA</t>
  </si>
  <si>
    <t>DESCRIPCIÓN</t>
  </si>
  <si>
    <t>DEBE</t>
  </si>
  <si>
    <t>HABER</t>
  </si>
  <si>
    <t>IMPORTE</t>
  </si>
  <si>
    <t>SALDO</t>
  </si>
  <si>
    <t>T50</t>
  </si>
  <si>
    <t>905</t>
  </si>
  <si>
    <t>Impuestos</t>
  </si>
  <si>
    <t>Tributo 3035324374442n</t>
  </si>
  <si>
    <t>108</t>
  </si>
  <si>
    <t>537</t>
  </si>
  <si>
    <t>Transferencias</t>
  </si>
  <si>
    <t>Trans/bizpills group bpo s.l.</t>
  </si>
  <si>
    <t>100</t>
  </si>
  <si>
    <t>03</t>
  </si>
  <si>
    <t>Transf otras/caixabank, s.a.</t>
  </si>
  <si>
    <t>C59</t>
  </si>
  <si>
    <t>524</t>
  </si>
  <si>
    <t>Gastos</t>
  </si>
  <si>
    <t>Comis. mant.</t>
  </si>
  <si>
    <t>278</t>
  </si>
  <si>
    <t>767</t>
  </si>
  <si>
    <t>Otros</t>
  </si>
  <si>
    <t>Com aper pt:         510016767</t>
  </si>
  <si>
    <t>218</t>
  </si>
  <si>
    <t>Financiación</t>
  </si>
  <si>
    <t>Imp inic pt:         510016767</t>
  </si>
  <si>
    <t>211</t>
  </si>
  <si>
    <t>Tributo 1115315752293t</t>
  </si>
  <si>
    <t>399</t>
  </si>
  <si>
    <t>Tributo 1235317209831d</t>
  </si>
  <si>
    <t>209</t>
  </si>
  <si>
    <t>02</t>
  </si>
  <si>
    <t>Liquid. cuota ptmo.  510016102</t>
  </si>
  <si>
    <t>77</t>
  </si>
  <si>
    <t>Liquid. cuota ptmo.  510007877</t>
  </si>
  <si>
    <t>INFORMACIÓN DE INTERÉS</t>
  </si>
  <si>
    <t>* Los movimientos mostrados se corresponden con los que usted está viendo actualmente en pantalla</t>
  </si>
  <si>
    <t>69</t>
  </si>
  <si>
    <t/>
  </si>
  <si>
    <t>27</t>
  </si>
  <si>
    <t>Transf otras/iseazy engage sl</t>
  </si>
  <si>
    <t>Ref.16: 000000000000</t>
  </si>
  <si>
    <t>47</t>
  </si>
  <si>
    <t>Trans/laboratorios alter s.a.</t>
  </si>
  <si>
    <t>Ref.16: 16.12.2024</t>
  </si>
  <si>
    <t>276</t>
  </si>
  <si>
    <t>676</t>
  </si>
  <si>
    <t>Rec manu cuot pt:7701510016767</t>
  </si>
  <si>
    <t>768</t>
  </si>
  <si>
    <t>489</t>
  </si>
  <si>
    <t>Trans inm/iseazy engage sl</t>
  </si>
  <si>
    <t>Ref.16: RT1E0B5F62920994</t>
  </si>
  <si>
    <t>67</t>
  </si>
  <si>
    <t>Liquid. cuota ptmo.  510016767</t>
  </si>
  <si>
    <t>Transf otras/aristocrazy s.a.</t>
  </si>
  <si>
    <t>Ref.16: T00001/42</t>
  </si>
  <si>
    <t>Ref.16: 24402000617420</t>
  </si>
  <si>
    <t>Trans/laboratorio stada, s.l.</t>
  </si>
  <si>
    <t>89</t>
  </si>
  <si>
    <t>Ref.16: 13.1.2025</t>
  </si>
  <si>
    <t>50</t>
  </si>
  <si>
    <t>Ref.16: 24.2.2025</t>
  </si>
  <si>
    <t>85</t>
  </si>
  <si>
    <t>REF. 16</t>
  </si>
  <si>
    <t>Filtros: Fecha: 01/03/2025-31/03/2025</t>
  </si>
  <si>
    <t>Fecha de generación: 2/4/2025 12:34:24</t>
  </si>
  <si>
    <t>Comision peticion auditoria</t>
  </si>
  <si>
    <t>01</t>
  </si>
  <si>
    <t>910</t>
  </si>
  <si>
    <t>Ref.16: 76916</t>
  </si>
  <si>
    <t>Transf/lola casademunt, s.l.</t>
  </si>
  <si>
    <t>30</t>
  </si>
  <si>
    <t>Tributo 1235344133615q</t>
  </si>
  <si>
    <t>306</t>
  </si>
  <si>
    <t>Tributo 3035344233180t</t>
  </si>
  <si>
    <t>041</t>
  </si>
  <si>
    <t>Imp inic pt:         510017474</t>
  </si>
  <si>
    <t>474</t>
  </si>
  <si>
    <t>Com aper pt:         510017474</t>
  </si>
  <si>
    <t>036</t>
  </si>
  <si>
    <t>Tributo 1115344182382q</t>
  </si>
  <si>
    <t>187</t>
  </si>
  <si>
    <t>Ref.16: 12.3.2025</t>
  </si>
  <si>
    <t>13</t>
  </si>
  <si>
    <t>Filtros: Fecha: 01/04/2025-23/04/2025</t>
  </si>
  <si>
    <t>Fecha de generación: 23/4/2025 11:36:05</t>
  </si>
  <si>
    <t>Ref.16: 11.4.2025</t>
  </si>
  <si>
    <t>Ref.16: 78533</t>
  </si>
  <si>
    <t>62</t>
  </si>
  <si>
    <t>Liquid. cuota ptmo.  510017474</t>
  </si>
  <si>
    <t>74</t>
  </si>
  <si>
    <t>Ingreso cheque nbk 2218283200</t>
  </si>
  <si>
    <t>Cheques y Pagarés</t>
  </si>
  <si>
    <t>320</t>
  </si>
  <si>
    <t>044</t>
  </si>
  <si>
    <t>Filtros: Fecha: 01/05/2025-31/05/2025</t>
  </si>
  <si>
    <t>Fecha de generación: 9/6/2025 18:20:07</t>
  </si>
  <si>
    <t>Mxiso bizpills mexico s de rl</t>
  </si>
  <si>
    <t>555</t>
  </si>
  <si>
    <t>541</t>
  </si>
  <si>
    <t>Ref.16: 9.5.2025</t>
  </si>
  <si>
    <t>97</t>
  </si>
  <si>
    <t>Ref.16: 80649</t>
  </si>
  <si>
    <t>79</t>
  </si>
  <si>
    <t>Trans/planificacion de entorn</t>
  </si>
  <si>
    <t>56</t>
  </si>
  <si>
    <t>789</t>
  </si>
  <si>
    <t>Transf otras en/iseazy engage</t>
  </si>
  <si>
    <t>353</t>
  </si>
  <si>
    <t>Comis emision t/iseazy engage</t>
  </si>
  <si>
    <t>C24</t>
  </si>
  <si>
    <t>Mxiso fundacion rafael donde,i</t>
  </si>
  <si>
    <t>262</t>
  </si>
  <si>
    <t>508</t>
  </si>
  <si>
    <t>Ref.16: 9.6.2025</t>
  </si>
  <si>
    <t>84</t>
  </si>
  <si>
    <t>Filtros: Fecha: 01/06/2025-30/06/2025</t>
  </si>
  <si>
    <t>Fecha de generación: 3/7/2025 14:23:06</t>
  </si>
  <si>
    <t>Fecha de generación: 31/7/2025 13:09:19</t>
  </si>
  <si>
    <t>Filtros: Fecha: 01/07/2025-31/07/2025</t>
  </si>
  <si>
    <t>152</t>
  </si>
  <si>
    <t>Tributo 3036735081152r</t>
  </si>
  <si>
    <t>136</t>
  </si>
  <si>
    <t>Tributo 1116736909136k</t>
  </si>
  <si>
    <t>715</t>
  </si>
  <si>
    <t>Tributo 1235367018846p</t>
  </si>
  <si>
    <t>062</t>
  </si>
  <si>
    <t>Com aper pt:         510018062</t>
  </si>
  <si>
    <t>Imp inic pt:         510018062</t>
  </si>
  <si>
    <t>458</t>
  </si>
  <si>
    <t>248</t>
  </si>
  <si>
    <t>747</t>
  </si>
  <si>
    <t>Cancelac pt:         510017474</t>
  </si>
  <si>
    <t>07</t>
  </si>
  <si>
    <t>Ref.16: 93271</t>
  </si>
  <si>
    <t>Ref.16: T00001/103</t>
  </si>
  <si>
    <t>57</t>
  </si>
  <si>
    <t>Ref.16: 97631</t>
  </si>
  <si>
    <t>Liquid. cuota ptmo.  510018062</t>
  </si>
  <si>
    <t>51</t>
  </si>
  <si>
    <t>370</t>
  </si>
  <si>
    <t>Ingreso cheque nbk 7226683700</t>
  </si>
  <si>
    <t>Ref.16: 7.7.2025</t>
  </si>
  <si>
    <t>Filtros: Fecha: 28/05/2025-31/08/2025</t>
  </si>
  <si>
    <t>Fecha de generación: 31/8/2025 13:07:47</t>
  </si>
  <si>
    <t>Número de cuenta: ES2801287701420100007524</t>
  </si>
  <si>
    <t>Saldo disponible</t>
  </si>
  <si>
    <t>Fecha de generación: 30/9/2025 9:19:10</t>
  </si>
  <si>
    <t>Filtros: Fecha: 02/07/2025-30/09/2025</t>
  </si>
  <si>
    <t>80</t>
  </si>
  <si>
    <t>Ref.16: 18.8.2025</t>
  </si>
  <si>
    <t>806</t>
  </si>
  <si>
    <t>Rec manu cuot pt:7701510018062</t>
  </si>
  <si>
    <t>86</t>
  </si>
  <si>
    <t>22</t>
  </si>
  <si>
    <t>Ref.16: 102583</t>
  </si>
  <si>
    <t>787</t>
  </si>
  <si>
    <t>Rec manu cuot pt:7701510007877</t>
  </si>
  <si>
    <t>978</t>
  </si>
  <si>
    <t>Ref.16: RT15FE0E9DB50334</t>
  </si>
  <si>
    <t>Fecha de generación: 14/11/2025 12:09:04</t>
  </si>
  <si>
    <t>Filtros: Fecha: 01/10/2025-31/10/2025</t>
  </si>
  <si>
    <t>193</t>
  </si>
  <si>
    <t>146</t>
  </si>
  <si>
    <t>Tributo 1115388015235a</t>
  </si>
  <si>
    <t>671</t>
  </si>
  <si>
    <t>Com aper pt:         510018671</t>
  </si>
  <si>
    <t>Imp inic pt:         510018671</t>
  </si>
  <si>
    <t>582</t>
  </si>
  <si>
    <t>Tributo 3035388011792q</t>
  </si>
  <si>
    <t>321</t>
  </si>
  <si>
    <t>Tributo 1235388022820z</t>
  </si>
  <si>
    <t>462</t>
  </si>
  <si>
    <t>Ref.16: RT10065F340A7A24</t>
  </si>
  <si>
    <t>275</t>
  </si>
  <si>
    <t>634</t>
  </si>
  <si>
    <t>Ref.16: 0239430948</t>
  </si>
  <si>
    <t>Trans/santander factoring y c</t>
  </si>
  <si>
    <t>87</t>
  </si>
  <si>
    <t>Liquid. cuota ptmo.  510018671</t>
  </si>
  <si>
    <t>71</t>
  </si>
  <si>
    <t>Ref.16: 111483</t>
  </si>
  <si>
    <t>76</t>
  </si>
  <si>
    <t>Filtros: Fecha: 01/11/2025-30/11/2025</t>
  </si>
  <si>
    <t>Fecha de generación: 3/12/2025 17:15:28</t>
  </si>
  <si>
    <t>Fecha de generación: 8/1/2026 8:55:24</t>
  </si>
  <si>
    <t>Filtros: Fecha: 01/12/2025-31/12/2025</t>
  </si>
  <si>
    <t>52</t>
  </si>
  <si>
    <t>Ref.16: 114505</t>
  </si>
  <si>
    <t>279</t>
  </si>
  <si>
    <t>000</t>
  </si>
  <si>
    <t>Liq. propia cta.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</si>
</sst>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E62F2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1" fillId="0" borderId="1" xfId="0" applyNumberFormat="1" applyFont="1" applyBorder="1" applyAlignment="1">
      <alignment horizontal="right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50876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2E0F586F-2F20-4A9A-8040-893627BEC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1508760" cy="18288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EAFA5EBC-E4D1-432F-9604-2FE6F016A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685800" cy="18288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DD80F320-E4FD-47A6-938B-278FFF088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685800" cy="18288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FC04B5F8-635E-4EEC-A9FE-5866EC2EE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685800" cy="18288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1</xdr:row>
      <xdr:rowOff>179070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2AB5F1-FEF6-4211-B146-7BEA77200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34850" y="180975"/>
          <a:ext cx="685800" cy="1809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1</xdr:row>
      <xdr:rowOff>169545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548ACC-1FB0-430E-A2D9-5B7D82AEC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87275" y="180975"/>
          <a:ext cx="685800" cy="1809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92E715-AB92-4573-90F2-DF192E1EB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34850" y="180975"/>
          <a:ext cx="685800" cy="1809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DD8FEA-7FBD-4B04-9613-4C5FFF4E1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34800" y="180975"/>
          <a:ext cx="685800" cy="1809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0975"/>
    <xdr:pic>
      <xdr:nvPicPr>
        <xdr:cNvPr id="2" name="Picture 1">
          <a:extLst>
            <a:ext uri="{FF2B5EF4-FFF2-40B4-BE49-F238E27FC236}">
              <a16:creationId xmlns:a16="http://schemas.microsoft.com/office/drawing/2014/main" id="{8DDED4B4-DC15-4899-8BEE-ACE75BF1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0975"/>
          <a:ext cx="685800" cy="18097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0BEE63-E7EB-4F0C-B061-8B298C072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34850" y="180975"/>
          <a:ext cx="685800" cy="18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A4" workbookViewId="0">
      <selection activeCell="K4" sqref="K1:L1048576"/>
    </sheetView>
  </sheetViews>
  <sheetFormatPr baseColWidth="10" defaultColWidth="8.88671875" defaultRowHeight="14.4" x14ac:dyDescent="0.3"/>
  <cols>
    <col min="1" max="1" width="12.5546875" customWidth="1"/>
    <col min="2" max="2" width="12.44140625" customWidth="1"/>
    <col min="3" max="3" width="13" customWidth="1"/>
    <col min="4" max="4" width="12" customWidth="1"/>
    <col min="5" max="5" width="22" customWidth="1"/>
    <col min="6" max="6" width="30" customWidth="1"/>
    <col min="7" max="7" width="18" customWidth="1"/>
    <col min="8" max="8" width="11" customWidth="1"/>
    <col min="9" max="9" width="18" customWidth="1"/>
    <col min="10" max="10" width="17" customWidth="1"/>
  </cols>
  <sheetData>
    <row r="1" spans="1:10" x14ac:dyDescent="0.3">
      <c r="A1" s="5" t="s">
        <v>0</v>
      </c>
      <c r="B1" s="5"/>
      <c r="C1" s="5"/>
      <c r="D1" s="5"/>
      <c r="E1" s="5"/>
      <c r="I1" s="1" t="s">
        <v>1</v>
      </c>
      <c r="J1" s="1">
        <v>1404.41</v>
      </c>
    </row>
    <row r="2" spans="1:10" x14ac:dyDescent="0.3">
      <c r="A2" s="6" t="s">
        <v>2</v>
      </c>
      <c r="B2" s="6"/>
      <c r="C2" s="6"/>
      <c r="D2" s="6"/>
      <c r="E2" s="6"/>
      <c r="I2" s="1" t="s">
        <v>3</v>
      </c>
      <c r="J2" s="2">
        <v>0</v>
      </c>
    </row>
    <row r="3" spans="1:10" x14ac:dyDescent="0.3">
      <c r="A3" s="6" t="s">
        <v>4</v>
      </c>
      <c r="B3" s="6"/>
      <c r="C3" s="6"/>
      <c r="D3" s="6"/>
      <c r="E3" s="6"/>
      <c r="I3" s="1" t="s">
        <v>5</v>
      </c>
      <c r="J3" s="2">
        <v>0</v>
      </c>
    </row>
    <row r="4" spans="1:10" x14ac:dyDescent="0.3">
      <c r="A4" s="6" t="s">
        <v>6</v>
      </c>
      <c r="B4" s="6"/>
      <c r="C4" s="6"/>
      <c r="D4" s="6"/>
      <c r="E4" s="6"/>
      <c r="I4" s="1" t="s">
        <v>7</v>
      </c>
      <c r="J4" s="2">
        <v>1404.41</v>
      </c>
    </row>
    <row r="6" spans="1:10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</row>
    <row r="7" spans="1:10" x14ac:dyDescent="0.3">
      <c r="A7" s="3">
        <v>45713</v>
      </c>
      <c r="B7" s="3">
        <v>45713</v>
      </c>
      <c r="C7" s="2" t="s">
        <v>26</v>
      </c>
      <c r="D7" s="2" t="s">
        <v>51</v>
      </c>
      <c r="E7" s="2" t="s">
        <v>24</v>
      </c>
      <c r="F7" s="2" t="s">
        <v>28</v>
      </c>
      <c r="G7" s="2" t="s">
        <v>52</v>
      </c>
      <c r="H7" s="2">
        <v>0</v>
      </c>
      <c r="I7" s="4">
        <v>1502.82</v>
      </c>
      <c r="J7" s="2">
        <v>1502.82</v>
      </c>
    </row>
    <row r="8" spans="1:10" x14ac:dyDescent="0.3">
      <c r="A8" s="3">
        <v>45709</v>
      </c>
      <c r="B8" s="3">
        <v>45709</v>
      </c>
      <c r="C8" s="2" t="s">
        <v>26</v>
      </c>
      <c r="D8" s="2" t="s">
        <v>53</v>
      </c>
      <c r="E8" s="2" t="s">
        <v>24</v>
      </c>
      <c r="F8" s="2" t="s">
        <v>54</v>
      </c>
      <c r="G8" s="2" t="s">
        <v>55</v>
      </c>
      <c r="H8" s="2">
        <v>0</v>
      </c>
      <c r="I8" s="4">
        <v>10000</v>
      </c>
      <c r="J8" s="2">
        <v>10000</v>
      </c>
    </row>
    <row r="9" spans="1:10" x14ac:dyDescent="0.3">
      <c r="A9" s="3">
        <v>45709</v>
      </c>
      <c r="B9" s="3">
        <v>45709</v>
      </c>
      <c r="C9" s="2" t="s">
        <v>26</v>
      </c>
      <c r="D9" s="2" t="s">
        <v>56</v>
      </c>
      <c r="E9" s="2" t="s">
        <v>24</v>
      </c>
      <c r="F9" s="2" t="s">
        <v>57</v>
      </c>
      <c r="G9" s="2" t="s">
        <v>58</v>
      </c>
      <c r="H9" s="2">
        <v>0</v>
      </c>
      <c r="I9" s="4">
        <v>726</v>
      </c>
      <c r="J9" s="2">
        <v>726</v>
      </c>
    </row>
    <row r="10" spans="1:10" x14ac:dyDescent="0.3">
      <c r="A10" s="3">
        <v>45708</v>
      </c>
      <c r="B10" s="3">
        <v>45708</v>
      </c>
      <c r="C10" s="2" t="s">
        <v>59</v>
      </c>
      <c r="D10" s="2" t="s">
        <v>60</v>
      </c>
      <c r="E10" s="2" t="s">
        <v>35</v>
      </c>
      <c r="F10" s="2" t="s">
        <v>61</v>
      </c>
      <c r="G10" s="2" t="s">
        <v>52</v>
      </c>
      <c r="H10" s="2">
        <v>-3595.59</v>
      </c>
      <c r="I10" s="4">
        <v>0</v>
      </c>
      <c r="J10" s="2">
        <v>-3595.59</v>
      </c>
    </row>
    <row r="11" spans="1:10" x14ac:dyDescent="0.3">
      <c r="A11" s="3">
        <v>45708</v>
      </c>
      <c r="B11" s="3">
        <v>45708</v>
      </c>
      <c r="C11" s="2" t="s">
        <v>22</v>
      </c>
      <c r="D11" s="2" t="s">
        <v>62</v>
      </c>
      <c r="E11" s="2" t="s">
        <v>24</v>
      </c>
      <c r="F11" s="2" t="s">
        <v>25</v>
      </c>
      <c r="G11" s="2" t="s">
        <v>52</v>
      </c>
      <c r="H11" s="2">
        <v>0</v>
      </c>
      <c r="I11" s="4">
        <v>3100</v>
      </c>
      <c r="J11" s="2">
        <v>3100</v>
      </c>
    </row>
    <row r="12" spans="1:10" x14ac:dyDescent="0.3">
      <c r="A12" s="3">
        <v>45708</v>
      </c>
      <c r="B12" s="3">
        <v>45708</v>
      </c>
      <c r="C12" s="2" t="s">
        <v>26</v>
      </c>
      <c r="D12" s="2" t="s">
        <v>63</v>
      </c>
      <c r="E12" s="2" t="s">
        <v>24</v>
      </c>
      <c r="F12" s="2" t="s">
        <v>64</v>
      </c>
      <c r="G12" s="2" t="s">
        <v>65</v>
      </c>
      <c r="H12" s="2">
        <v>0</v>
      </c>
      <c r="I12" s="4">
        <v>500</v>
      </c>
      <c r="J12" s="2">
        <v>500</v>
      </c>
    </row>
    <row r="13" spans="1:10" x14ac:dyDescent="0.3">
      <c r="A13" s="3">
        <v>45708</v>
      </c>
      <c r="B13" s="3">
        <v>45708</v>
      </c>
      <c r="C13" s="2" t="s">
        <v>44</v>
      </c>
      <c r="D13" s="2" t="s">
        <v>66</v>
      </c>
      <c r="E13" s="2" t="s">
        <v>38</v>
      </c>
      <c r="F13" s="2" t="s">
        <v>67</v>
      </c>
      <c r="G13" s="2" t="s">
        <v>52</v>
      </c>
      <c r="H13" s="2">
        <v>-1404.41</v>
      </c>
      <c r="I13" s="4">
        <v>0</v>
      </c>
      <c r="J13" s="2">
        <v>-1404.41</v>
      </c>
    </row>
    <row r="14" spans="1:10" x14ac:dyDescent="0.3">
      <c r="A14" s="3">
        <v>45696</v>
      </c>
      <c r="B14" s="3">
        <v>45696</v>
      </c>
      <c r="C14" s="2" t="s">
        <v>44</v>
      </c>
      <c r="D14" s="2" t="s">
        <v>47</v>
      </c>
      <c r="E14" s="2" t="s">
        <v>38</v>
      </c>
      <c r="F14" s="2" t="s">
        <v>48</v>
      </c>
      <c r="G14" s="2" t="s">
        <v>52</v>
      </c>
      <c r="H14" s="2">
        <v>-2314.5700000000002</v>
      </c>
      <c r="I14" s="4">
        <v>0</v>
      </c>
      <c r="J14" s="2">
        <v>-2314.5700000000002</v>
      </c>
    </row>
    <row r="15" spans="1:10" x14ac:dyDescent="0.3">
      <c r="A15" s="3">
        <v>45692</v>
      </c>
      <c r="B15" s="3">
        <v>45692</v>
      </c>
      <c r="C15" s="2" t="s">
        <v>26</v>
      </c>
      <c r="D15" s="2" t="s">
        <v>45</v>
      </c>
      <c r="E15" s="2" t="s">
        <v>24</v>
      </c>
      <c r="F15" s="2" t="s">
        <v>68</v>
      </c>
      <c r="G15" s="2" t="s">
        <v>69</v>
      </c>
      <c r="H15" s="2">
        <v>0</v>
      </c>
      <c r="I15" s="4">
        <v>816.75</v>
      </c>
      <c r="J15" s="2">
        <v>816.75</v>
      </c>
    </row>
    <row r="16" spans="1:10" x14ac:dyDescent="0.3">
      <c r="A16" s="3">
        <v>45687</v>
      </c>
      <c r="B16" s="3">
        <v>45687</v>
      </c>
      <c r="C16" s="2" t="s">
        <v>18</v>
      </c>
      <c r="D16" s="2" t="s">
        <v>19</v>
      </c>
      <c r="E16" s="2" t="s">
        <v>20</v>
      </c>
      <c r="F16" s="2" t="s">
        <v>21</v>
      </c>
      <c r="G16" s="2">
        <v>-16290.87</v>
      </c>
      <c r="H16" s="2">
        <v>0</v>
      </c>
      <c r="I16" s="4">
        <v>-16290.87</v>
      </c>
      <c r="J16" s="2">
        <v>2902.23</v>
      </c>
    </row>
    <row r="17" spans="1:10" x14ac:dyDescent="0.3">
      <c r="A17" s="3">
        <v>45685</v>
      </c>
      <c r="B17" s="3">
        <v>45685</v>
      </c>
      <c r="C17" s="2" t="s">
        <v>22</v>
      </c>
      <c r="D17" s="2" t="s">
        <v>23</v>
      </c>
      <c r="E17" s="2" t="s">
        <v>24</v>
      </c>
      <c r="F17" s="2" t="s">
        <v>25</v>
      </c>
      <c r="G17" s="2">
        <v>0</v>
      </c>
      <c r="H17" s="2">
        <v>14000</v>
      </c>
      <c r="I17" s="4">
        <v>14000</v>
      </c>
      <c r="J17" s="2">
        <v>19193.099999999999</v>
      </c>
    </row>
    <row r="18" spans="1:10" x14ac:dyDescent="0.3">
      <c r="A18" s="3">
        <v>45684</v>
      </c>
      <c r="B18" s="3">
        <v>45684</v>
      </c>
      <c r="C18" s="2" t="s">
        <v>26</v>
      </c>
      <c r="D18" s="2" t="s">
        <v>27</v>
      </c>
      <c r="E18" s="2" t="s">
        <v>24</v>
      </c>
      <c r="F18" s="2" t="s">
        <v>28</v>
      </c>
      <c r="G18" s="2">
        <v>0</v>
      </c>
      <c r="H18" s="2">
        <v>1502.82</v>
      </c>
      <c r="I18" s="4">
        <v>1502.82</v>
      </c>
      <c r="J18" s="2">
        <v>5193.1000000000004</v>
      </c>
    </row>
    <row r="19" spans="1:10" x14ac:dyDescent="0.3">
      <c r="A19" s="3">
        <v>45679</v>
      </c>
      <c r="B19" s="3">
        <v>45679</v>
      </c>
      <c r="C19" s="2" t="s">
        <v>29</v>
      </c>
      <c r="D19" s="2" t="s">
        <v>30</v>
      </c>
      <c r="E19" s="2" t="s">
        <v>31</v>
      </c>
      <c r="F19" s="2" t="s">
        <v>32</v>
      </c>
      <c r="G19" s="2">
        <v>-22.5</v>
      </c>
      <c r="H19" s="2">
        <v>0</v>
      </c>
      <c r="I19" s="4">
        <v>-22.5</v>
      </c>
      <c r="J19" s="2">
        <v>3690.28</v>
      </c>
    </row>
    <row r="20" spans="1:10" x14ac:dyDescent="0.3">
      <c r="A20" s="3">
        <v>45677</v>
      </c>
      <c r="B20" s="3">
        <v>45677</v>
      </c>
      <c r="C20" s="2" t="s">
        <v>33</v>
      </c>
      <c r="D20" s="2" t="s">
        <v>34</v>
      </c>
      <c r="E20" s="2" t="s">
        <v>35</v>
      </c>
      <c r="F20" s="2" t="s">
        <v>36</v>
      </c>
      <c r="G20" s="2">
        <v>-150</v>
      </c>
      <c r="H20" s="2">
        <v>0</v>
      </c>
      <c r="I20" s="4">
        <v>-150</v>
      </c>
      <c r="J20" s="2">
        <v>3712.78</v>
      </c>
    </row>
    <row r="21" spans="1:10" x14ac:dyDescent="0.3">
      <c r="A21" s="3">
        <v>45677</v>
      </c>
      <c r="B21" s="3">
        <v>45677</v>
      </c>
      <c r="C21" s="2" t="s">
        <v>37</v>
      </c>
      <c r="D21" s="2" t="s">
        <v>34</v>
      </c>
      <c r="E21" s="2" t="s">
        <v>38</v>
      </c>
      <c r="F21" s="2" t="s">
        <v>39</v>
      </c>
      <c r="G21" s="2">
        <v>0</v>
      </c>
      <c r="H21" s="2">
        <v>15000</v>
      </c>
      <c r="I21" s="4">
        <v>15000</v>
      </c>
      <c r="J21" s="2">
        <v>3862.78</v>
      </c>
    </row>
    <row r="22" spans="1:10" x14ac:dyDescent="0.3">
      <c r="A22" s="3">
        <v>45677</v>
      </c>
      <c r="B22" s="3">
        <v>45677</v>
      </c>
      <c r="C22" s="2" t="s">
        <v>18</v>
      </c>
      <c r="D22" s="2" t="s">
        <v>40</v>
      </c>
      <c r="E22" s="2" t="s">
        <v>20</v>
      </c>
      <c r="F22" s="2" t="s">
        <v>41</v>
      </c>
      <c r="G22" s="2">
        <v>-14261.32</v>
      </c>
      <c r="H22" s="2">
        <v>0</v>
      </c>
      <c r="I22" s="4">
        <v>-14261.32</v>
      </c>
      <c r="J22" s="2">
        <v>-11137.22</v>
      </c>
    </row>
    <row r="23" spans="1:10" x14ac:dyDescent="0.3">
      <c r="A23" s="3">
        <v>45677</v>
      </c>
      <c r="B23" s="3">
        <v>45677</v>
      </c>
      <c r="C23" s="2" t="s">
        <v>18</v>
      </c>
      <c r="D23" s="2" t="s">
        <v>42</v>
      </c>
      <c r="E23" s="2" t="s">
        <v>20</v>
      </c>
      <c r="F23" s="2" t="s">
        <v>43</v>
      </c>
      <c r="G23" s="2">
        <v>-1635.99</v>
      </c>
      <c r="H23" s="2">
        <v>0</v>
      </c>
      <c r="I23" s="4">
        <v>-1635.99</v>
      </c>
      <c r="J23" s="2">
        <v>3124.1</v>
      </c>
    </row>
    <row r="24" spans="1:10" x14ac:dyDescent="0.3">
      <c r="A24" s="3">
        <v>45674</v>
      </c>
      <c r="B24" s="3">
        <v>45674</v>
      </c>
      <c r="C24" s="2" t="s">
        <v>44</v>
      </c>
      <c r="D24" s="2" t="s">
        <v>45</v>
      </c>
      <c r="E24" s="2" t="s">
        <v>38</v>
      </c>
      <c r="F24" s="2" t="s">
        <v>46</v>
      </c>
      <c r="G24" s="2">
        <v>-5000</v>
      </c>
      <c r="H24" s="2">
        <v>0</v>
      </c>
      <c r="I24" s="4">
        <v>-5000</v>
      </c>
      <c r="J24" s="2">
        <v>4760.09</v>
      </c>
    </row>
    <row r="25" spans="1:10" x14ac:dyDescent="0.3">
      <c r="A25" s="3">
        <v>45665</v>
      </c>
      <c r="B25" s="3">
        <v>45665</v>
      </c>
      <c r="C25" s="2" t="s">
        <v>44</v>
      </c>
      <c r="D25" s="2" t="s">
        <v>47</v>
      </c>
      <c r="E25" s="2" t="s">
        <v>38</v>
      </c>
      <c r="F25" s="2" t="s">
        <v>48</v>
      </c>
      <c r="G25" s="2">
        <v>-2314.5700000000002</v>
      </c>
      <c r="H25" s="2">
        <v>0</v>
      </c>
      <c r="I25" s="4">
        <v>-2314.5700000000002</v>
      </c>
      <c r="J25" s="2">
        <v>9760.09</v>
      </c>
    </row>
    <row r="27" spans="1:10" x14ac:dyDescent="0.3">
      <c r="A27" s="2" t="s">
        <v>49</v>
      </c>
    </row>
    <row r="28" spans="1:10" x14ac:dyDescent="0.3">
      <c r="A28" s="2" t="s">
        <v>50</v>
      </c>
    </row>
  </sheetData>
  <autoFilter ref="A6:J25" xr:uid="{00000000-0001-0000-0000-000000000000}"/>
  <mergeCells count="4">
    <mergeCell ref="A1:E1"/>
    <mergeCell ref="A2:E2"/>
    <mergeCell ref="A3:E3"/>
    <mergeCell ref="A4:E4"/>
  </mergeCells>
  <conditionalFormatting sqref="I7:I25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6CFE-3759-44AE-9811-FBB064E224A1}">
  <dimension ref="A1:K14"/>
  <sheetViews>
    <sheetView zoomScaleNormal="100" workbookViewId="0">
      <selection activeCell="L1" sqref="L1:L1048576"/>
    </sheetView>
  </sheetViews>
  <sheetFormatPr baseColWidth="10" defaultColWidth="8.88671875" defaultRowHeight="14.4" x14ac:dyDescent="0.3"/>
  <cols>
    <col min="1" max="1" width="16.6640625" customWidth="1"/>
    <col min="2" max="2" width="14.5546875" customWidth="1"/>
    <col min="3" max="3" width="13" customWidth="1"/>
    <col min="4" max="4" width="12" customWidth="1"/>
    <col min="5" max="5" width="24" customWidth="1"/>
    <col min="6" max="6" width="29" customWidth="1"/>
    <col min="7" max="7" width="22" customWidth="1"/>
    <col min="8" max="8" width="11" customWidth="1"/>
    <col min="9" max="10" width="15" customWidth="1"/>
    <col min="11" max="11" width="18" customWidth="1"/>
  </cols>
  <sheetData>
    <row r="1" spans="1:11" x14ac:dyDescent="0.3">
      <c r="A1" s="5" t="s">
        <v>0</v>
      </c>
      <c r="B1" s="5"/>
      <c r="C1" s="5"/>
      <c r="D1" s="5"/>
      <c r="E1" s="5"/>
      <c r="J1" s="1" t="s">
        <v>1</v>
      </c>
      <c r="K1" s="1">
        <v>6794.16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79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78</v>
      </c>
      <c r="B4" s="6"/>
      <c r="C4" s="6"/>
      <c r="D4" s="6"/>
      <c r="E4" s="6"/>
      <c r="J4" s="1" t="s">
        <v>7</v>
      </c>
      <c r="K4" s="2">
        <v>6794.16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77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 x14ac:dyDescent="0.3">
      <c r="A7" s="3">
        <v>45737</v>
      </c>
      <c r="B7" s="3">
        <v>45737</v>
      </c>
      <c r="C7" s="2" t="s">
        <v>26</v>
      </c>
      <c r="D7" s="2" t="s">
        <v>76</v>
      </c>
      <c r="E7" s="2" t="s">
        <v>24</v>
      </c>
      <c r="F7" s="2" t="s">
        <v>57</v>
      </c>
      <c r="G7" s="2" t="s">
        <v>75</v>
      </c>
      <c r="H7" s="2">
        <v>0</v>
      </c>
      <c r="I7" s="2">
        <v>726</v>
      </c>
      <c r="J7" s="4">
        <v>726</v>
      </c>
      <c r="K7" s="2">
        <v>6794.16</v>
      </c>
    </row>
    <row r="8" spans="1:11" x14ac:dyDescent="0.3">
      <c r="A8" s="3">
        <v>45736</v>
      </c>
      <c r="B8" s="3">
        <v>45736</v>
      </c>
      <c r="C8" s="2" t="s">
        <v>44</v>
      </c>
      <c r="D8" s="2" t="s">
        <v>66</v>
      </c>
      <c r="E8" s="2" t="s">
        <v>38</v>
      </c>
      <c r="F8" s="2" t="s">
        <v>67</v>
      </c>
      <c r="G8" s="2" t="s">
        <v>52</v>
      </c>
      <c r="H8" s="2">
        <v>-5000</v>
      </c>
      <c r="I8" s="2">
        <v>0</v>
      </c>
      <c r="J8" s="4">
        <v>-5000</v>
      </c>
      <c r="K8" s="2">
        <v>6068.16</v>
      </c>
    </row>
    <row r="9" spans="1:11" x14ac:dyDescent="0.3">
      <c r="A9" s="3">
        <v>45728</v>
      </c>
      <c r="B9" s="3">
        <v>45728</v>
      </c>
      <c r="C9" s="2" t="s">
        <v>26</v>
      </c>
      <c r="D9" s="2" t="s">
        <v>74</v>
      </c>
      <c r="E9" s="2" t="s">
        <v>24</v>
      </c>
      <c r="F9" s="2" t="s">
        <v>57</v>
      </c>
      <c r="G9" s="2" t="s">
        <v>73</v>
      </c>
      <c r="H9" s="2">
        <v>0</v>
      </c>
      <c r="I9" s="2">
        <v>726</v>
      </c>
      <c r="J9" s="4">
        <v>726</v>
      </c>
      <c r="K9" s="2">
        <v>11068.16</v>
      </c>
    </row>
    <row r="10" spans="1:11" x14ac:dyDescent="0.3">
      <c r="A10" s="3">
        <v>45724</v>
      </c>
      <c r="B10" s="3">
        <v>45724</v>
      </c>
      <c r="C10" s="2" t="s">
        <v>44</v>
      </c>
      <c r="D10" s="2" t="s">
        <v>47</v>
      </c>
      <c r="E10" s="2" t="s">
        <v>38</v>
      </c>
      <c r="F10" s="2" t="s">
        <v>48</v>
      </c>
      <c r="G10" s="2" t="s">
        <v>52</v>
      </c>
      <c r="H10" s="2">
        <v>-2314.5700000000002</v>
      </c>
      <c r="I10" s="2">
        <v>0</v>
      </c>
      <c r="J10" s="4">
        <v>-2314.5700000000002</v>
      </c>
      <c r="K10" s="2">
        <v>10342.16</v>
      </c>
    </row>
    <row r="11" spans="1:11" x14ac:dyDescent="0.3">
      <c r="A11" s="3">
        <v>45719</v>
      </c>
      <c r="B11" s="3">
        <v>45719</v>
      </c>
      <c r="C11" s="2" t="s">
        <v>26</v>
      </c>
      <c r="D11" s="2" t="s">
        <v>72</v>
      </c>
      <c r="E11" s="2" t="s">
        <v>24</v>
      </c>
      <c r="F11" s="2" t="s">
        <v>71</v>
      </c>
      <c r="G11" s="2" t="s">
        <v>70</v>
      </c>
      <c r="H11" s="2">
        <v>0</v>
      </c>
      <c r="I11" s="2">
        <v>423.5</v>
      </c>
      <c r="J11" s="4">
        <v>423.5</v>
      </c>
      <c r="K11" s="2">
        <v>12656.73</v>
      </c>
    </row>
    <row r="13" spans="1:11" x14ac:dyDescent="0.3">
      <c r="A13" s="2" t="s">
        <v>49</v>
      </c>
    </row>
    <row r="14" spans="1:11" x14ac:dyDescent="0.3">
      <c r="A14" s="2" t="s">
        <v>50</v>
      </c>
    </row>
  </sheetData>
  <mergeCells count="4">
    <mergeCell ref="A1:E1"/>
    <mergeCell ref="A2:E2"/>
    <mergeCell ref="A3:E3"/>
    <mergeCell ref="A4:E4"/>
  </mergeCells>
  <conditionalFormatting sqref="J7:J11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CE68-1CDF-49B0-BBF3-11A495C65CBC}">
  <dimension ref="A1:K21"/>
  <sheetViews>
    <sheetView workbookViewId="0">
      <selection activeCell="L1" sqref="L1:N1048576"/>
    </sheetView>
  </sheetViews>
  <sheetFormatPr baseColWidth="10" defaultColWidth="8.88671875" defaultRowHeight="14.4" x14ac:dyDescent="0.3"/>
  <cols>
    <col min="1" max="1" width="14.109375" customWidth="1"/>
    <col min="2" max="2" width="20" customWidth="1"/>
    <col min="3" max="3" width="6.21875" bestFit="1" customWidth="1"/>
    <col min="4" max="4" width="11.21875" bestFit="1" customWidth="1"/>
    <col min="5" max="5" width="22" customWidth="1"/>
    <col min="6" max="6" width="30" customWidth="1"/>
    <col min="7" max="7" width="11.44140625" customWidth="1"/>
    <col min="8" max="8" width="18" customWidth="1"/>
    <col min="9" max="9" width="11" customWidth="1"/>
    <col min="10" max="10" width="18" customWidth="1"/>
    <col min="11" max="11" width="17" customWidth="1"/>
  </cols>
  <sheetData>
    <row r="1" spans="1:11" x14ac:dyDescent="0.3">
      <c r="A1" s="5" t="s">
        <v>0</v>
      </c>
      <c r="B1" s="5"/>
      <c r="C1" s="5"/>
      <c r="D1" s="5"/>
      <c r="E1" s="5"/>
      <c r="J1" s="1" t="s">
        <v>1</v>
      </c>
      <c r="K1" s="1">
        <v>4719.75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99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98</v>
      </c>
      <c r="B4" s="6"/>
      <c r="C4" s="6"/>
      <c r="D4" s="6"/>
      <c r="E4" s="6"/>
      <c r="J4" s="1" t="s">
        <v>7</v>
      </c>
      <c r="K4" s="2">
        <v>4719.75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77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 x14ac:dyDescent="0.3">
      <c r="A7" s="3">
        <v>45769</v>
      </c>
      <c r="B7" s="3">
        <v>45769</v>
      </c>
      <c r="C7" s="2" t="s">
        <v>26</v>
      </c>
      <c r="D7" s="2" t="s">
        <v>97</v>
      </c>
      <c r="E7" s="2" t="s">
        <v>24</v>
      </c>
      <c r="F7" s="2" t="s">
        <v>57</v>
      </c>
      <c r="G7" s="2" t="s">
        <v>96</v>
      </c>
      <c r="H7" s="2">
        <v>0</v>
      </c>
      <c r="I7" s="2">
        <v>726</v>
      </c>
      <c r="J7" s="4">
        <v>726</v>
      </c>
      <c r="K7" s="2">
        <v>4719.75</v>
      </c>
    </row>
    <row r="8" spans="1:11" x14ac:dyDescent="0.3">
      <c r="A8" s="3">
        <v>45768</v>
      </c>
      <c r="B8" s="3">
        <v>45768</v>
      </c>
      <c r="C8" s="2" t="s">
        <v>18</v>
      </c>
      <c r="D8" s="2" t="s">
        <v>95</v>
      </c>
      <c r="E8" s="2" t="s">
        <v>20</v>
      </c>
      <c r="F8" s="2" t="s">
        <v>94</v>
      </c>
      <c r="G8" s="2" t="s">
        <v>52</v>
      </c>
      <c r="H8" s="2">
        <v>-14519.75</v>
      </c>
      <c r="I8" s="2">
        <v>0</v>
      </c>
      <c r="J8" s="4">
        <v>-14519.75</v>
      </c>
      <c r="K8" s="2">
        <v>3993.75</v>
      </c>
    </row>
    <row r="9" spans="1:11" x14ac:dyDescent="0.3">
      <c r="A9" s="3">
        <v>45768</v>
      </c>
      <c r="B9" s="3">
        <v>45768</v>
      </c>
      <c r="C9" s="2" t="s">
        <v>22</v>
      </c>
      <c r="D9" s="2" t="s">
        <v>93</v>
      </c>
      <c r="E9" s="2" t="s">
        <v>24</v>
      </c>
      <c r="F9" s="2" t="s">
        <v>25</v>
      </c>
      <c r="G9" s="2" t="s">
        <v>52</v>
      </c>
      <c r="H9" s="2">
        <v>-15000</v>
      </c>
      <c r="I9" s="2">
        <v>0</v>
      </c>
      <c r="J9" s="4">
        <v>-15000</v>
      </c>
      <c r="K9" s="2">
        <v>18513.5</v>
      </c>
    </row>
    <row r="10" spans="1:11" x14ac:dyDescent="0.3">
      <c r="A10" s="3">
        <v>45768</v>
      </c>
      <c r="B10" s="3">
        <v>45768</v>
      </c>
      <c r="C10" s="2" t="s">
        <v>33</v>
      </c>
      <c r="D10" s="2" t="s">
        <v>91</v>
      </c>
      <c r="E10" s="2" t="s">
        <v>35</v>
      </c>
      <c r="F10" s="2" t="s">
        <v>92</v>
      </c>
      <c r="G10" s="2" t="s">
        <v>52</v>
      </c>
      <c r="H10" s="2">
        <v>-150</v>
      </c>
      <c r="I10" s="2">
        <v>0</v>
      </c>
      <c r="J10" s="4">
        <v>-150</v>
      </c>
      <c r="K10" s="2">
        <v>33513.5</v>
      </c>
    </row>
    <row r="11" spans="1:11" x14ac:dyDescent="0.3">
      <c r="A11" s="3">
        <v>45768</v>
      </c>
      <c r="B11" s="3">
        <v>45768</v>
      </c>
      <c r="C11" s="2" t="s">
        <v>37</v>
      </c>
      <c r="D11" s="2" t="s">
        <v>91</v>
      </c>
      <c r="E11" s="2" t="s">
        <v>38</v>
      </c>
      <c r="F11" s="2" t="s">
        <v>90</v>
      </c>
      <c r="G11" s="2" t="s">
        <v>52</v>
      </c>
      <c r="H11" s="2">
        <v>0</v>
      </c>
      <c r="I11" s="2">
        <v>15000</v>
      </c>
      <c r="J11" s="4">
        <v>15000</v>
      </c>
      <c r="K11" s="2">
        <v>33663.5</v>
      </c>
    </row>
    <row r="12" spans="1:11" x14ac:dyDescent="0.3">
      <c r="A12" s="3">
        <v>45768</v>
      </c>
      <c r="B12" s="3">
        <v>45768</v>
      </c>
      <c r="C12" s="2" t="s">
        <v>18</v>
      </c>
      <c r="D12" s="2" t="s">
        <v>89</v>
      </c>
      <c r="E12" s="2" t="s">
        <v>20</v>
      </c>
      <c r="F12" s="2" t="s">
        <v>88</v>
      </c>
      <c r="G12" s="2" t="s">
        <v>52</v>
      </c>
      <c r="H12" s="2">
        <v>-11363.41</v>
      </c>
      <c r="I12" s="2">
        <v>0</v>
      </c>
      <c r="J12" s="4">
        <v>-11363.41</v>
      </c>
      <c r="K12" s="2">
        <v>18663.5</v>
      </c>
    </row>
    <row r="13" spans="1:11" x14ac:dyDescent="0.3">
      <c r="A13" s="3">
        <v>45768</v>
      </c>
      <c r="B13" s="3">
        <v>45768</v>
      </c>
      <c r="C13" s="2" t="s">
        <v>18</v>
      </c>
      <c r="D13" s="2" t="s">
        <v>87</v>
      </c>
      <c r="E13" s="2" t="s">
        <v>20</v>
      </c>
      <c r="F13" s="2" t="s">
        <v>86</v>
      </c>
      <c r="G13" s="2" t="s">
        <v>52</v>
      </c>
      <c r="H13" s="2">
        <v>-1659.72</v>
      </c>
      <c r="I13" s="2">
        <v>0</v>
      </c>
      <c r="J13" s="4">
        <v>-1659.72</v>
      </c>
      <c r="K13" s="2">
        <v>30026.91</v>
      </c>
    </row>
    <row r="14" spans="1:11" x14ac:dyDescent="0.3">
      <c r="A14" s="3">
        <v>45768</v>
      </c>
      <c r="B14" s="3">
        <v>45767</v>
      </c>
      <c r="C14" s="2" t="s">
        <v>44</v>
      </c>
      <c r="D14" s="2" t="s">
        <v>66</v>
      </c>
      <c r="E14" s="2" t="s">
        <v>38</v>
      </c>
      <c r="F14" s="2" t="s">
        <v>67</v>
      </c>
      <c r="G14" s="2" t="s">
        <v>52</v>
      </c>
      <c r="H14" s="2">
        <v>-5000</v>
      </c>
      <c r="I14" s="2">
        <v>0</v>
      </c>
      <c r="J14" s="4">
        <v>-5000</v>
      </c>
      <c r="K14" s="2">
        <v>31686.63</v>
      </c>
    </row>
    <row r="15" spans="1:11" x14ac:dyDescent="0.3">
      <c r="A15" s="3">
        <v>45764</v>
      </c>
      <c r="B15" s="3">
        <v>45764</v>
      </c>
      <c r="C15" s="2" t="s">
        <v>26</v>
      </c>
      <c r="D15" s="2" t="s">
        <v>76</v>
      </c>
      <c r="E15" s="2" t="s">
        <v>24</v>
      </c>
      <c r="F15" s="2" t="s">
        <v>54</v>
      </c>
      <c r="G15" s="2" t="s">
        <v>55</v>
      </c>
      <c r="H15" s="2">
        <v>0</v>
      </c>
      <c r="I15" s="2">
        <v>30000</v>
      </c>
      <c r="J15" s="4">
        <v>30000</v>
      </c>
      <c r="K15" s="2">
        <v>36686.629999999997</v>
      </c>
    </row>
    <row r="16" spans="1:11" x14ac:dyDescent="0.3">
      <c r="A16" s="3">
        <v>45763</v>
      </c>
      <c r="B16" s="3">
        <v>45763</v>
      </c>
      <c r="C16" s="2" t="s">
        <v>26</v>
      </c>
      <c r="D16" s="2" t="s">
        <v>85</v>
      </c>
      <c r="E16" s="2" t="s">
        <v>24</v>
      </c>
      <c r="F16" s="2" t="s">
        <v>84</v>
      </c>
      <c r="G16" s="2" t="s">
        <v>83</v>
      </c>
      <c r="H16" s="2">
        <v>0</v>
      </c>
      <c r="I16" s="2">
        <v>2255.44</v>
      </c>
      <c r="J16" s="4">
        <v>2255.44</v>
      </c>
      <c r="K16" s="2">
        <v>6686.63</v>
      </c>
    </row>
    <row r="17" spans="1:11" x14ac:dyDescent="0.3">
      <c r="A17" s="3">
        <v>45755</v>
      </c>
      <c r="B17" s="3">
        <v>45755</v>
      </c>
      <c r="C17" s="2" t="s">
        <v>82</v>
      </c>
      <c r="D17" s="2" t="s">
        <v>81</v>
      </c>
      <c r="E17" s="2" t="s">
        <v>31</v>
      </c>
      <c r="F17" s="2" t="s">
        <v>80</v>
      </c>
      <c r="G17" s="2" t="s">
        <v>52</v>
      </c>
      <c r="H17" s="2">
        <v>-48.4</v>
      </c>
      <c r="I17" s="2">
        <v>0</v>
      </c>
      <c r="J17" s="4">
        <v>-48.4</v>
      </c>
      <c r="K17" s="2">
        <v>4431.1899999999996</v>
      </c>
    </row>
    <row r="18" spans="1:11" x14ac:dyDescent="0.3">
      <c r="A18" s="3">
        <v>45755</v>
      </c>
      <c r="B18" s="3">
        <v>45755</v>
      </c>
      <c r="C18" s="2" t="s">
        <v>44</v>
      </c>
      <c r="D18" s="2" t="s">
        <v>47</v>
      </c>
      <c r="E18" s="2" t="s">
        <v>38</v>
      </c>
      <c r="F18" s="2" t="s">
        <v>48</v>
      </c>
      <c r="G18" s="2" t="s">
        <v>52</v>
      </c>
      <c r="H18" s="2">
        <v>-2314.5700000000002</v>
      </c>
      <c r="I18" s="2">
        <v>0</v>
      </c>
      <c r="J18" s="4">
        <v>-2314.5700000000002</v>
      </c>
      <c r="K18" s="2">
        <v>4479.59</v>
      </c>
    </row>
    <row r="20" spans="1:11" x14ac:dyDescent="0.3">
      <c r="A20" s="2" t="s">
        <v>49</v>
      </c>
    </row>
    <row r="21" spans="1:11" x14ac:dyDescent="0.3">
      <c r="A21" s="2" t="s">
        <v>50</v>
      </c>
    </row>
  </sheetData>
  <mergeCells count="4">
    <mergeCell ref="A1:E1"/>
    <mergeCell ref="A2:E2"/>
    <mergeCell ref="A3:E3"/>
    <mergeCell ref="A4:E4"/>
  </mergeCells>
  <conditionalFormatting sqref="J7:J18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6835-1318-4D28-8FD0-8725017F2959}">
  <dimension ref="A1:K14"/>
  <sheetViews>
    <sheetView topLeftCell="C1" workbookViewId="0">
      <selection activeCell="L1" sqref="L1:O1048576"/>
    </sheetView>
  </sheetViews>
  <sheetFormatPr baseColWidth="10" defaultColWidth="8.88671875" defaultRowHeight="14.4" x14ac:dyDescent="0.3"/>
  <cols>
    <col min="1" max="1" width="14.33203125" customWidth="1"/>
    <col min="2" max="2" width="20" customWidth="1"/>
    <col min="3" max="3" width="13" customWidth="1"/>
    <col min="4" max="4" width="12" customWidth="1"/>
    <col min="5" max="5" width="22" customWidth="1"/>
    <col min="6" max="6" width="30" customWidth="1"/>
    <col min="7" max="7" width="19.77734375" customWidth="1"/>
    <col min="8" max="8" width="18" customWidth="1"/>
    <col min="9" max="9" width="11" customWidth="1"/>
    <col min="10" max="10" width="18" customWidth="1"/>
    <col min="11" max="11" width="17" customWidth="1"/>
  </cols>
  <sheetData>
    <row r="1" spans="1:11" x14ac:dyDescent="0.3">
      <c r="A1" s="5" t="s">
        <v>0</v>
      </c>
      <c r="B1" s="5"/>
      <c r="C1" s="5"/>
      <c r="D1" s="5"/>
      <c r="E1" s="5"/>
      <c r="J1" s="1" t="s">
        <v>1</v>
      </c>
      <c r="K1" s="1">
        <v>99060.07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110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109</v>
      </c>
      <c r="B4" s="6"/>
      <c r="C4" s="6"/>
      <c r="D4" s="6"/>
      <c r="E4" s="6"/>
      <c r="J4" s="1" t="s">
        <v>7</v>
      </c>
      <c r="K4" s="2">
        <v>99060.07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77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 x14ac:dyDescent="0.3">
      <c r="A7" s="3">
        <v>45807</v>
      </c>
      <c r="B7" s="3">
        <v>45806</v>
      </c>
      <c r="C7" s="2" t="s">
        <v>108</v>
      </c>
      <c r="D7" s="2" t="s">
        <v>107</v>
      </c>
      <c r="E7" s="2" t="s">
        <v>106</v>
      </c>
      <c r="F7" s="2" t="s">
        <v>105</v>
      </c>
      <c r="G7" s="2" t="s">
        <v>52</v>
      </c>
      <c r="H7" s="2">
        <v>0</v>
      </c>
      <c r="I7" s="2">
        <v>8712</v>
      </c>
      <c r="J7" s="4">
        <v>8712</v>
      </c>
      <c r="K7" s="2">
        <v>12220.2</v>
      </c>
    </row>
    <row r="8" spans="1:11" x14ac:dyDescent="0.3">
      <c r="A8" s="3">
        <v>45798</v>
      </c>
      <c r="B8" s="3">
        <v>45798</v>
      </c>
      <c r="C8" s="2" t="s">
        <v>44</v>
      </c>
      <c r="D8" s="2" t="s">
        <v>104</v>
      </c>
      <c r="E8" s="2" t="s">
        <v>38</v>
      </c>
      <c r="F8" s="2" t="s">
        <v>103</v>
      </c>
      <c r="G8" s="2" t="s">
        <v>52</v>
      </c>
      <c r="H8" s="2">
        <v>-5000</v>
      </c>
      <c r="I8" s="2">
        <v>0</v>
      </c>
      <c r="J8" s="4">
        <v>-5000</v>
      </c>
      <c r="K8" s="2">
        <v>3508.2</v>
      </c>
    </row>
    <row r="9" spans="1:11" x14ac:dyDescent="0.3">
      <c r="A9" s="3">
        <v>45793</v>
      </c>
      <c r="B9" s="3">
        <v>45793</v>
      </c>
      <c r="C9" s="2" t="s">
        <v>26</v>
      </c>
      <c r="D9" s="2" t="s">
        <v>102</v>
      </c>
      <c r="E9" s="2" t="s">
        <v>24</v>
      </c>
      <c r="F9" s="2" t="s">
        <v>84</v>
      </c>
      <c r="G9" s="2" t="s">
        <v>101</v>
      </c>
      <c r="H9" s="2">
        <v>0</v>
      </c>
      <c r="I9" s="2">
        <v>5362.72</v>
      </c>
      <c r="J9" s="4">
        <v>5362.72</v>
      </c>
      <c r="K9" s="2">
        <v>8508.2000000000007</v>
      </c>
    </row>
    <row r="10" spans="1:11" x14ac:dyDescent="0.3">
      <c r="A10" s="3">
        <v>45790</v>
      </c>
      <c r="B10" s="3">
        <v>45790</v>
      </c>
      <c r="C10" s="2" t="s">
        <v>26</v>
      </c>
      <c r="D10" s="2" t="s">
        <v>72</v>
      </c>
      <c r="E10" s="2" t="s">
        <v>24</v>
      </c>
      <c r="F10" s="2" t="s">
        <v>57</v>
      </c>
      <c r="G10" s="2" t="s">
        <v>100</v>
      </c>
      <c r="H10" s="2">
        <v>0</v>
      </c>
      <c r="I10" s="2">
        <v>726</v>
      </c>
      <c r="J10" s="4">
        <v>726</v>
      </c>
      <c r="K10" s="2">
        <v>3145.48</v>
      </c>
    </row>
    <row r="11" spans="1:11" x14ac:dyDescent="0.3">
      <c r="A11" s="3">
        <v>45785</v>
      </c>
      <c r="B11" s="3">
        <v>45785</v>
      </c>
      <c r="C11" s="2" t="s">
        <v>44</v>
      </c>
      <c r="D11" s="2" t="s">
        <v>47</v>
      </c>
      <c r="E11" s="2" t="s">
        <v>38</v>
      </c>
      <c r="F11" s="2" t="s">
        <v>48</v>
      </c>
      <c r="G11" s="2" t="s">
        <v>52</v>
      </c>
      <c r="H11" s="2">
        <v>-2300.27</v>
      </c>
      <c r="I11" s="2">
        <v>0</v>
      </c>
      <c r="J11" s="4">
        <v>-2300.27</v>
      </c>
      <c r="K11" s="2">
        <v>2419.48</v>
      </c>
    </row>
    <row r="13" spans="1:11" x14ac:dyDescent="0.3">
      <c r="A13" s="2" t="s">
        <v>49</v>
      </c>
    </row>
    <row r="14" spans="1:11" x14ac:dyDescent="0.3">
      <c r="A14" s="2" t="s">
        <v>50</v>
      </c>
    </row>
  </sheetData>
  <mergeCells count="4">
    <mergeCell ref="A1:E1"/>
    <mergeCell ref="A2:E2"/>
    <mergeCell ref="A3:E3"/>
    <mergeCell ref="A4:E4"/>
  </mergeCells>
  <conditionalFormatting sqref="J7:J11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D5F7-1BC7-40B1-BE89-D4B7C8D6B110}">
  <dimension ref="A1:K26"/>
  <sheetViews>
    <sheetView workbookViewId="0">
      <selection activeCell="L1" sqref="L1:L1048576"/>
    </sheetView>
  </sheetViews>
  <sheetFormatPr baseColWidth="10" defaultColWidth="8.88671875" defaultRowHeight="14.4" x14ac:dyDescent="0.3"/>
  <cols>
    <col min="1" max="1" width="14.33203125" customWidth="1"/>
    <col min="2" max="2" width="20" customWidth="1"/>
    <col min="3" max="3" width="13" customWidth="1"/>
    <col min="4" max="4" width="12" customWidth="1"/>
    <col min="5" max="5" width="22" customWidth="1"/>
    <col min="6" max="6" width="30" customWidth="1"/>
    <col min="7" max="7" width="10" customWidth="1"/>
    <col min="8" max="8" width="18" customWidth="1"/>
    <col min="9" max="9" width="11" customWidth="1"/>
    <col min="10" max="10" width="18" customWidth="1"/>
    <col min="11" max="11" width="17" customWidth="1"/>
  </cols>
  <sheetData>
    <row r="1" spans="1:11" x14ac:dyDescent="0.3">
      <c r="A1" s="5" t="s">
        <v>0</v>
      </c>
      <c r="B1" s="5"/>
      <c r="C1" s="5"/>
      <c r="D1" s="5"/>
      <c r="E1" s="5"/>
      <c r="J1" s="1" t="s">
        <v>1</v>
      </c>
      <c r="K1" s="1">
        <v>29934.27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131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130</v>
      </c>
      <c r="B4" s="6"/>
      <c r="C4" s="6"/>
      <c r="D4" s="6"/>
      <c r="E4" s="6"/>
      <c r="J4" s="1" t="s">
        <v>7</v>
      </c>
      <c r="K4" s="2">
        <v>29934.27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77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 x14ac:dyDescent="0.3">
      <c r="A7" s="3">
        <v>45838</v>
      </c>
      <c r="B7" s="3">
        <v>45838</v>
      </c>
      <c r="C7" s="2" t="s">
        <v>26</v>
      </c>
      <c r="D7" s="2" t="s">
        <v>129</v>
      </c>
      <c r="E7" s="2" t="s">
        <v>24</v>
      </c>
      <c r="F7" s="2" t="s">
        <v>57</v>
      </c>
      <c r="G7" s="2" t="s">
        <v>128</v>
      </c>
      <c r="H7" s="2">
        <v>0</v>
      </c>
      <c r="I7" s="2">
        <v>726</v>
      </c>
      <c r="J7" s="4">
        <v>726</v>
      </c>
      <c r="K7" s="2">
        <v>29934.27</v>
      </c>
    </row>
    <row r="8" spans="1:11" x14ac:dyDescent="0.3">
      <c r="A8" s="3">
        <v>45835</v>
      </c>
      <c r="B8" s="3">
        <v>45835</v>
      </c>
      <c r="C8" s="2" t="s">
        <v>113</v>
      </c>
      <c r="D8" s="2" t="s">
        <v>127</v>
      </c>
      <c r="E8" s="2" t="s">
        <v>35</v>
      </c>
      <c r="F8" s="2" t="s">
        <v>125</v>
      </c>
      <c r="G8" s="2" t="s">
        <v>52</v>
      </c>
      <c r="H8" s="2">
        <v>0</v>
      </c>
      <c r="I8" s="2">
        <v>18575</v>
      </c>
      <c r="J8" s="4">
        <v>18575</v>
      </c>
      <c r="K8" s="2">
        <v>29208.27</v>
      </c>
    </row>
    <row r="9" spans="1:11" x14ac:dyDescent="0.3">
      <c r="A9" s="3">
        <v>45831</v>
      </c>
      <c r="B9" s="3">
        <v>45829</v>
      </c>
      <c r="C9" s="2" t="s">
        <v>44</v>
      </c>
      <c r="D9" s="2" t="s">
        <v>104</v>
      </c>
      <c r="E9" s="2" t="s">
        <v>38</v>
      </c>
      <c r="F9" s="2" t="s">
        <v>103</v>
      </c>
      <c r="G9" s="2" t="s">
        <v>52</v>
      </c>
      <c r="H9" s="2">
        <v>-5000</v>
      </c>
      <c r="I9" s="2">
        <v>0</v>
      </c>
      <c r="J9" s="4">
        <v>-5000</v>
      </c>
      <c r="K9" s="2">
        <v>10633.27</v>
      </c>
    </row>
    <row r="10" spans="1:11" x14ac:dyDescent="0.3">
      <c r="A10" s="3">
        <v>45828</v>
      </c>
      <c r="B10" s="3">
        <v>45828</v>
      </c>
      <c r="C10" s="2" t="s">
        <v>113</v>
      </c>
      <c r="D10" s="2" t="s">
        <v>126</v>
      </c>
      <c r="E10" s="2" t="s">
        <v>35</v>
      </c>
      <c r="F10" s="2" t="s">
        <v>125</v>
      </c>
      <c r="G10" s="2" t="s">
        <v>52</v>
      </c>
      <c r="H10" s="2">
        <v>0</v>
      </c>
      <c r="I10" s="2">
        <v>6194</v>
      </c>
      <c r="J10" s="4">
        <v>6194</v>
      </c>
      <c r="K10" s="2">
        <v>15633.27</v>
      </c>
    </row>
    <row r="11" spans="1:11" x14ac:dyDescent="0.3">
      <c r="A11" s="3">
        <v>45825</v>
      </c>
      <c r="B11" s="3">
        <v>45825</v>
      </c>
      <c r="C11" s="2" t="s">
        <v>124</v>
      </c>
      <c r="D11" s="2" t="s">
        <v>122</v>
      </c>
      <c r="E11" s="2" t="s">
        <v>24</v>
      </c>
      <c r="F11" s="2" t="s">
        <v>123</v>
      </c>
      <c r="G11" s="2" t="s">
        <v>52</v>
      </c>
      <c r="H11" s="2">
        <v>-1</v>
      </c>
      <c r="I11" s="2">
        <v>0</v>
      </c>
      <c r="J11" s="4">
        <v>-1</v>
      </c>
      <c r="K11" s="2">
        <v>9439.27</v>
      </c>
    </row>
    <row r="12" spans="1:11" x14ac:dyDescent="0.3">
      <c r="A12" s="3">
        <v>45825</v>
      </c>
      <c r="B12" s="3">
        <v>45825</v>
      </c>
      <c r="C12" s="2" t="s">
        <v>26</v>
      </c>
      <c r="D12" s="2" t="s">
        <v>122</v>
      </c>
      <c r="E12" s="2" t="s">
        <v>24</v>
      </c>
      <c r="F12" s="2" t="s">
        <v>121</v>
      </c>
      <c r="G12" s="2" t="s">
        <v>52</v>
      </c>
      <c r="H12" s="2">
        <v>-70000</v>
      </c>
      <c r="I12" s="2">
        <v>0</v>
      </c>
      <c r="J12" s="4">
        <v>-70000</v>
      </c>
      <c r="K12" s="2">
        <v>9440.27</v>
      </c>
    </row>
    <row r="13" spans="1:11" x14ac:dyDescent="0.3">
      <c r="A13" s="3">
        <v>45825</v>
      </c>
      <c r="B13" s="3">
        <v>45825</v>
      </c>
      <c r="C13" s="2" t="s">
        <v>22</v>
      </c>
      <c r="D13" s="2" t="s">
        <v>120</v>
      </c>
      <c r="E13" s="2" t="s">
        <v>24</v>
      </c>
      <c r="F13" s="2" t="s">
        <v>25</v>
      </c>
      <c r="G13" s="2" t="s">
        <v>52</v>
      </c>
      <c r="H13" s="2">
        <v>-24000</v>
      </c>
      <c r="I13" s="2">
        <v>0</v>
      </c>
      <c r="J13" s="4">
        <v>-24000</v>
      </c>
      <c r="K13" s="2">
        <v>79440.27</v>
      </c>
    </row>
    <row r="14" spans="1:11" x14ac:dyDescent="0.3">
      <c r="A14" s="3">
        <v>45825</v>
      </c>
      <c r="B14" s="3">
        <v>45825</v>
      </c>
      <c r="C14" s="2" t="s">
        <v>26</v>
      </c>
      <c r="D14" s="2" t="s">
        <v>119</v>
      </c>
      <c r="E14" s="2" t="s">
        <v>24</v>
      </c>
      <c r="F14" s="2" t="s">
        <v>118</v>
      </c>
      <c r="G14" s="2" t="s">
        <v>52</v>
      </c>
      <c r="H14" s="2">
        <v>0</v>
      </c>
      <c r="I14" s="2">
        <v>2526.48</v>
      </c>
      <c r="J14" s="4">
        <v>2526.48</v>
      </c>
      <c r="K14" s="2">
        <v>103440.27</v>
      </c>
    </row>
    <row r="15" spans="1:11" x14ac:dyDescent="0.3">
      <c r="A15" s="3">
        <v>45825</v>
      </c>
      <c r="B15" s="3">
        <v>45825</v>
      </c>
      <c r="C15" s="2" t="s">
        <v>26</v>
      </c>
      <c r="D15" s="2" t="s">
        <v>117</v>
      </c>
      <c r="E15" s="2" t="s">
        <v>24</v>
      </c>
      <c r="F15" s="2" t="s">
        <v>84</v>
      </c>
      <c r="G15" s="2" t="s">
        <v>116</v>
      </c>
      <c r="H15" s="2">
        <v>0</v>
      </c>
      <c r="I15" s="2">
        <v>1127.72</v>
      </c>
      <c r="J15" s="4">
        <v>1127.72</v>
      </c>
      <c r="K15" s="2">
        <v>100913.79</v>
      </c>
    </row>
    <row r="16" spans="1:11" x14ac:dyDescent="0.3">
      <c r="A16" s="3">
        <v>45819</v>
      </c>
      <c r="B16" s="3">
        <v>45819</v>
      </c>
      <c r="C16" s="2" t="s">
        <v>26</v>
      </c>
      <c r="D16" s="2" t="s">
        <v>115</v>
      </c>
      <c r="E16" s="2" t="s">
        <v>24</v>
      </c>
      <c r="F16" s="2" t="s">
        <v>57</v>
      </c>
      <c r="G16" s="2" t="s">
        <v>114</v>
      </c>
      <c r="H16" s="2">
        <v>0</v>
      </c>
      <c r="I16" s="2">
        <v>726</v>
      </c>
      <c r="J16" s="4">
        <v>726</v>
      </c>
      <c r="K16" s="2">
        <v>99786.07</v>
      </c>
    </row>
    <row r="17" spans="1:11" x14ac:dyDescent="0.3">
      <c r="A17" s="3">
        <v>45817</v>
      </c>
      <c r="B17" s="3">
        <v>45817</v>
      </c>
      <c r="C17" s="2" t="s">
        <v>113</v>
      </c>
      <c r="D17" s="2" t="s">
        <v>112</v>
      </c>
      <c r="E17" s="2" t="s">
        <v>35</v>
      </c>
      <c r="F17" s="2" t="s">
        <v>111</v>
      </c>
      <c r="G17" s="2" t="s">
        <v>52</v>
      </c>
      <c r="H17" s="2">
        <v>0</v>
      </c>
      <c r="I17" s="2">
        <v>89140.14</v>
      </c>
      <c r="J17" s="4">
        <v>89140.14</v>
      </c>
      <c r="K17" s="2">
        <v>99060.07</v>
      </c>
    </row>
    <row r="18" spans="1:11" x14ac:dyDescent="0.3">
      <c r="A18" s="3">
        <v>45817</v>
      </c>
      <c r="B18" s="3">
        <v>45816</v>
      </c>
      <c r="C18" s="2" t="s">
        <v>44</v>
      </c>
      <c r="D18" s="2" t="s">
        <v>47</v>
      </c>
      <c r="E18" s="2" t="s">
        <v>38</v>
      </c>
      <c r="F18" s="2" t="s">
        <v>48</v>
      </c>
      <c r="G18" s="2" t="s">
        <v>52</v>
      </c>
      <c r="H18" s="2">
        <v>-2300.27</v>
      </c>
      <c r="I18" s="2">
        <v>0</v>
      </c>
      <c r="J18" s="4">
        <v>-2300.27</v>
      </c>
      <c r="K18" s="2">
        <v>9919.93</v>
      </c>
    </row>
    <row r="20" spans="1:11" x14ac:dyDescent="0.3">
      <c r="A20" s="2" t="s">
        <v>49</v>
      </c>
    </row>
    <row r="21" spans="1:11" x14ac:dyDescent="0.3">
      <c r="A21" s="2" t="s">
        <v>50</v>
      </c>
    </row>
    <row r="26" spans="1:11" x14ac:dyDescent="0.3">
      <c r="E26" s="4"/>
    </row>
  </sheetData>
  <mergeCells count="4">
    <mergeCell ref="A1:E1"/>
    <mergeCell ref="A2:E2"/>
    <mergeCell ref="A3:E3"/>
    <mergeCell ref="A4:E4"/>
  </mergeCells>
  <conditionalFormatting sqref="E26">
    <cfRule type="cellIs" dxfId="15" priority="1" operator="lessThan">
      <formula>0</formula>
    </cfRule>
    <cfRule type="cellIs" dxfId="14" priority="2" operator="greaterThan">
      <formula>0</formula>
    </cfRule>
  </conditionalFormatting>
  <conditionalFormatting sqref="J7:J18">
    <cfRule type="cellIs" dxfId="13" priority="3" operator="lessThan">
      <formula>0</formula>
    </cfRule>
    <cfRule type="cellIs" dxfId="12" priority="4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53BE-2B32-4981-A34F-63AE02A6B3A0}">
  <dimension ref="A1:K20"/>
  <sheetViews>
    <sheetView workbookViewId="0">
      <selection activeCell="L1" sqref="L1:L1048576"/>
    </sheetView>
  </sheetViews>
  <sheetFormatPr baseColWidth="10" defaultColWidth="8.88671875" defaultRowHeight="14.4" x14ac:dyDescent="0.3"/>
  <cols>
    <col min="1" max="1" width="12.88671875" customWidth="1"/>
    <col min="2" max="2" width="20" customWidth="1"/>
    <col min="3" max="3" width="13" customWidth="1"/>
    <col min="4" max="4" width="12" customWidth="1"/>
    <col min="5" max="5" width="22" customWidth="1"/>
    <col min="6" max="6" width="30" customWidth="1"/>
    <col min="7" max="7" width="10" customWidth="1"/>
    <col min="8" max="8" width="18" customWidth="1"/>
    <col min="9" max="9" width="11" customWidth="1"/>
    <col min="10" max="10" width="18" customWidth="1"/>
    <col min="11" max="11" width="15" customWidth="1"/>
  </cols>
  <sheetData>
    <row r="1" spans="1:11" x14ac:dyDescent="0.3">
      <c r="A1" s="5" t="s">
        <v>0</v>
      </c>
      <c r="B1" s="5"/>
      <c r="C1" s="5"/>
      <c r="D1" s="5"/>
      <c r="E1" s="5"/>
      <c r="J1" s="1" t="s">
        <v>1</v>
      </c>
      <c r="K1" s="1">
        <v>1429.38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132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133</v>
      </c>
      <c r="B4" s="6"/>
      <c r="C4" s="6"/>
      <c r="D4" s="6"/>
      <c r="E4" s="6"/>
      <c r="J4" s="1" t="s">
        <v>7</v>
      </c>
      <c r="K4" s="2">
        <v>1429.38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77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 x14ac:dyDescent="0.3">
      <c r="A7" s="3">
        <v>45860</v>
      </c>
      <c r="B7" s="3">
        <v>45860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52</v>
      </c>
      <c r="H7" s="2">
        <v>-22.5</v>
      </c>
      <c r="I7" s="2">
        <v>0</v>
      </c>
      <c r="J7" s="4">
        <v>-22.5</v>
      </c>
      <c r="K7" s="2">
        <v>1429.38</v>
      </c>
    </row>
    <row r="8" spans="1:11" x14ac:dyDescent="0.3">
      <c r="A8" s="3">
        <v>45859</v>
      </c>
      <c r="B8" s="3">
        <v>45859</v>
      </c>
      <c r="C8" s="2" t="s">
        <v>18</v>
      </c>
      <c r="D8" s="2" t="s">
        <v>134</v>
      </c>
      <c r="E8" s="2" t="s">
        <v>20</v>
      </c>
      <c r="F8" s="2" t="s">
        <v>135</v>
      </c>
      <c r="G8" s="2" t="s">
        <v>52</v>
      </c>
      <c r="H8" s="2">
        <v>-6818.55</v>
      </c>
      <c r="I8" s="2">
        <v>0</v>
      </c>
      <c r="J8" s="4">
        <v>-6818.55</v>
      </c>
      <c r="K8" s="2">
        <v>1451.88</v>
      </c>
    </row>
    <row r="9" spans="1:11" x14ac:dyDescent="0.3">
      <c r="A9" s="3">
        <v>45859</v>
      </c>
      <c r="B9" s="3">
        <v>45859</v>
      </c>
      <c r="C9" s="2" t="s">
        <v>18</v>
      </c>
      <c r="D9" s="2" t="s">
        <v>136</v>
      </c>
      <c r="E9" s="2" t="s">
        <v>20</v>
      </c>
      <c r="F9" s="2" t="s">
        <v>137</v>
      </c>
      <c r="G9" s="2" t="s">
        <v>52</v>
      </c>
      <c r="H9" s="2">
        <v>-13524.75</v>
      </c>
      <c r="I9" s="2">
        <v>0</v>
      </c>
      <c r="J9" s="4">
        <v>-13524.75</v>
      </c>
      <c r="K9" s="2">
        <v>8270.43</v>
      </c>
    </row>
    <row r="10" spans="1:11" x14ac:dyDescent="0.3">
      <c r="A10" s="3">
        <v>45856</v>
      </c>
      <c r="B10" s="3">
        <v>45856</v>
      </c>
      <c r="C10" s="2" t="s">
        <v>18</v>
      </c>
      <c r="D10" s="2" t="s">
        <v>138</v>
      </c>
      <c r="E10" s="2" t="s">
        <v>20</v>
      </c>
      <c r="F10" s="2" t="s">
        <v>139</v>
      </c>
      <c r="G10" s="2" t="s">
        <v>52</v>
      </c>
      <c r="H10" s="2">
        <v>-1633.29</v>
      </c>
      <c r="I10" s="2">
        <v>0</v>
      </c>
      <c r="J10" s="4">
        <v>-1633.29</v>
      </c>
      <c r="K10" s="2">
        <v>21795.18</v>
      </c>
    </row>
    <row r="11" spans="1:11" x14ac:dyDescent="0.3">
      <c r="A11" s="3">
        <v>45855</v>
      </c>
      <c r="B11" s="3">
        <v>45855</v>
      </c>
      <c r="C11" s="2" t="s">
        <v>33</v>
      </c>
      <c r="D11" s="2" t="s">
        <v>140</v>
      </c>
      <c r="E11" s="2" t="s">
        <v>35</v>
      </c>
      <c r="F11" s="2" t="s">
        <v>141</v>
      </c>
      <c r="G11" s="2" t="s">
        <v>52</v>
      </c>
      <c r="H11" s="2">
        <v>-150</v>
      </c>
      <c r="I11" s="2">
        <v>0</v>
      </c>
      <c r="J11" s="4">
        <v>-150</v>
      </c>
      <c r="K11" s="2">
        <v>23428.47</v>
      </c>
    </row>
    <row r="12" spans="1:11" x14ac:dyDescent="0.3">
      <c r="A12" s="3">
        <v>45855</v>
      </c>
      <c r="B12" s="3">
        <v>45855</v>
      </c>
      <c r="C12" s="2" t="s">
        <v>37</v>
      </c>
      <c r="D12" s="2" t="s">
        <v>140</v>
      </c>
      <c r="E12" s="2" t="s">
        <v>38</v>
      </c>
      <c r="F12" s="2" t="s">
        <v>142</v>
      </c>
      <c r="G12" s="2" t="s">
        <v>52</v>
      </c>
      <c r="H12" s="2">
        <v>0</v>
      </c>
      <c r="I12" s="2">
        <v>15000</v>
      </c>
      <c r="J12" s="4">
        <v>15000</v>
      </c>
      <c r="K12" s="2">
        <v>23578.47</v>
      </c>
    </row>
    <row r="13" spans="1:11" x14ac:dyDescent="0.3">
      <c r="A13" s="3">
        <v>45855</v>
      </c>
      <c r="B13" s="3">
        <v>45855</v>
      </c>
      <c r="C13" s="2" t="s">
        <v>22</v>
      </c>
      <c r="D13" s="2" t="s">
        <v>143</v>
      </c>
      <c r="E13" s="2" t="s">
        <v>24</v>
      </c>
      <c r="F13" s="2" t="s">
        <v>25</v>
      </c>
      <c r="G13" s="2" t="s">
        <v>52</v>
      </c>
      <c r="H13" s="2">
        <v>-16000</v>
      </c>
      <c r="I13" s="2">
        <v>0</v>
      </c>
      <c r="J13" s="4">
        <v>-16000</v>
      </c>
      <c r="K13" s="2">
        <v>8578.4699999999993</v>
      </c>
    </row>
    <row r="14" spans="1:11" x14ac:dyDescent="0.3">
      <c r="A14" s="3">
        <v>45854</v>
      </c>
      <c r="B14" s="3">
        <v>45854</v>
      </c>
      <c r="C14" s="2" t="s">
        <v>144</v>
      </c>
      <c r="D14" s="2" t="s">
        <v>145</v>
      </c>
      <c r="E14" s="2" t="s">
        <v>38</v>
      </c>
      <c r="F14" s="2" t="s">
        <v>146</v>
      </c>
      <c r="G14" s="2" t="s">
        <v>52</v>
      </c>
      <c r="H14" s="2">
        <v>-5000</v>
      </c>
      <c r="I14" s="2">
        <v>0</v>
      </c>
      <c r="J14" s="4">
        <v>-5000</v>
      </c>
      <c r="K14" s="2">
        <v>24578.47</v>
      </c>
    </row>
    <row r="15" spans="1:11" x14ac:dyDescent="0.3">
      <c r="A15" s="3">
        <v>45854</v>
      </c>
      <c r="B15" s="3">
        <v>45854</v>
      </c>
      <c r="C15" s="2" t="s">
        <v>26</v>
      </c>
      <c r="D15" s="2" t="s">
        <v>147</v>
      </c>
      <c r="E15" s="2" t="s">
        <v>24</v>
      </c>
      <c r="F15" s="2" t="s">
        <v>84</v>
      </c>
      <c r="G15" s="2" t="s">
        <v>148</v>
      </c>
      <c r="H15" s="2">
        <v>0</v>
      </c>
      <c r="I15" s="2">
        <v>1127.72</v>
      </c>
      <c r="J15" s="4">
        <v>1127.72</v>
      </c>
      <c r="K15" s="2">
        <v>29578.47</v>
      </c>
    </row>
    <row r="16" spans="1:11" x14ac:dyDescent="0.3">
      <c r="A16" s="3">
        <v>45854</v>
      </c>
      <c r="B16" s="3">
        <v>45854</v>
      </c>
      <c r="C16" s="2" t="s">
        <v>26</v>
      </c>
      <c r="D16" s="2" t="s">
        <v>147</v>
      </c>
      <c r="E16" s="2" t="s">
        <v>24</v>
      </c>
      <c r="F16" s="2" t="s">
        <v>68</v>
      </c>
      <c r="G16" s="2" t="s">
        <v>149</v>
      </c>
      <c r="H16" s="2">
        <v>0</v>
      </c>
      <c r="I16" s="2">
        <v>816.75</v>
      </c>
      <c r="J16" s="4">
        <v>816.75</v>
      </c>
      <c r="K16" s="2">
        <v>28450.75</v>
      </c>
    </row>
    <row r="17" spans="1:11" x14ac:dyDescent="0.3">
      <c r="A17" s="3">
        <v>45846</v>
      </c>
      <c r="B17" s="3">
        <v>45846</v>
      </c>
      <c r="C17" s="2" t="s">
        <v>44</v>
      </c>
      <c r="D17" s="2" t="s">
        <v>47</v>
      </c>
      <c r="E17" s="2" t="s">
        <v>38</v>
      </c>
      <c r="F17" s="2" t="s">
        <v>48</v>
      </c>
      <c r="G17" s="2" t="s">
        <v>52</v>
      </c>
      <c r="H17" s="2">
        <v>-2300.27</v>
      </c>
      <c r="I17" s="2">
        <v>0</v>
      </c>
      <c r="J17" s="4">
        <v>-2300.27</v>
      </c>
      <c r="K17" s="2">
        <v>27634</v>
      </c>
    </row>
    <row r="19" spans="1:11" x14ac:dyDescent="0.3">
      <c r="A19" s="2" t="s">
        <v>49</v>
      </c>
    </row>
    <row r="20" spans="1:11" x14ac:dyDescent="0.3">
      <c r="A20" s="2" t="s">
        <v>50</v>
      </c>
    </row>
  </sheetData>
  <mergeCells count="4">
    <mergeCell ref="A1:E1"/>
    <mergeCell ref="A2:E2"/>
    <mergeCell ref="A3:E3"/>
    <mergeCell ref="A4:E4"/>
  </mergeCells>
  <conditionalFormatting sqref="J7:J17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B74A-42E5-4718-BF9C-76758D03CE86}">
  <dimension ref="A1:K15"/>
  <sheetViews>
    <sheetView workbookViewId="0">
      <selection activeCell="L1" sqref="L1:L1048576"/>
    </sheetView>
  </sheetViews>
  <sheetFormatPr baseColWidth="10" defaultColWidth="8.88671875" defaultRowHeight="14.4" x14ac:dyDescent="0.3"/>
  <cols>
    <col min="1" max="1" width="24.44140625" customWidth="1"/>
    <col min="2" max="2" width="20" customWidth="1"/>
    <col min="3" max="4" width="13" customWidth="1"/>
    <col min="5" max="5" width="27" customWidth="1"/>
    <col min="6" max="6" width="29" customWidth="1"/>
    <col min="7" max="7" width="10" customWidth="1"/>
    <col min="8" max="8" width="11" customWidth="1"/>
    <col min="9" max="10" width="14" customWidth="1"/>
    <col min="11" max="11" width="17" customWidth="1"/>
  </cols>
  <sheetData>
    <row r="1" spans="1:11" x14ac:dyDescent="0.3">
      <c r="A1" s="5" t="s">
        <v>0</v>
      </c>
      <c r="B1" s="5"/>
      <c r="C1" s="5"/>
      <c r="D1" s="5"/>
      <c r="E1" s="5"/>
      <c r="J1" s="1" t="s">
        <v>1</v>
      </c>
      <c r="K1" s="1">
        <v>1797.83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158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157</v>
      </c>
      <c r="B4" s="6"/>
      <c r="C4" s="6"/>
      <c r="D4" s="6"/>
      <c r="E4" s="6"/>
      <c r="J4" s="1" t="s">
        <v>7</v>
      </c>
      <c r="K4" s="2">
        <v>1797.83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77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 x14ac:dyDescent="0.3">
      <c r="A7" s="3">
        <v>45888</v>
      </c>
      <c r="B7" s="3">
        <v>45888</v>
      </c>
      <c r="C7" s="2" t="s">
        <v>26</v>
      </c>
      <c r="D7" s="2" t="s">
        <v>150</v>
      </c>
      <c r="E7" s="2" t="s">
        <v>24</v>
      </c>
      <c r="F7" s="2" t="s">
        <v>84</v>
      </c>
      <c r="G7" s="2" t="s">
        <v>151</v>
      </c>
      <c r="H7" s="2">
        <v>0</v>
      </c>
      <c r="I7" s="2">
        <v>1127.72</v>
      </c>
      <c r="J7" s="4">
        <v>1127.72</v>
      </c>
      <c r="K7" s="2">
        <v>1797.83</v>
      </c>
    </row>
    <row r="8" spans="1:11" x14ac:dyDescent="0.3">
      <c r="A8" s="3">
        <v>45887</v>
      </c>
      <c r="B8" s="3">
        <v>45886</v>
      </c>
      <c r="C8" s="2" t="s">
        <v>44</v>
      </c>
      <c r="D8" s="2" t="s">
        <v>102</v>
      </c>
      <c r="E8" s="2" t="s">
        <v>38</v>
      </c>
      <c r="F8" s="2" t="s">
        <v>152</v>
      </c>
      <c r="G8" s="2" t="s">
        <v>52</v>
      </c>
      <c r="H8" s="2">
        <v>-5000</v>
      </c>
      <c r="I8" s="2">
        <v>0</v>
      </c>
      <c r="J8" s="4">
        <v>-5000</v>
      </c>
      <c r="K8" s="2">
        <v>670.11</v>
      </c>
    </row>
    <row r="9" spans="1:11" x14ac:dyDescent="0.3">
      <c r="A9" s="3">
        <v>45881</v>
      </c>
      <c r="B9" s="3">
        <v>45881</v>
      </c>
      <c r="C9" s="2" t="s">
        <v>26</v>
      </c>
      <c r="D9" s="2" t="s">
        <v>153</v>
      </c>
      <c r="E9" s="2" t="s">
        <v>24</v>
      </c>
      <c r="F9" s="2" t="s">
        <v>54</v>
      </c>
      <c r="G9" s="2" t="s">
        <v>55</v>
      </c>
      <c r="H9" s="2">
        <v>0</v>
      </c>
      <c r="I9" s="2">
        <v>4000</v>
      </c>
      <c r="J9" s="4">
        <v>4000</v>
      </c>
      <c r="K9" s="2">
        <v>5670.11</v>
      </c>
    </row>
    <row r="10" spans="1:11" x14ac:dyDescent="0.3">
      <c r="A10" s="3">
        <v>45877</v>
      </c>
      <c r="B10" s="3">
        <v>45877</v>
      </c>
      <c r="C10" s="2" t="s">
        <v>44</v>
      </c>
      <c r="D10" s="2" t="s">
        <v>47</v>
      </c>
      <c r="E10" s="2" t="s">
        <v>38</v>
      </c>
      <c r="F10" s="2" t="s">
        <v>48</v>
      </c>
      <c r="G10" s="2" t="s">
        <v>52</v>
      </c>
      <c r="H10" s="2">
        <v>-2300.27</v>
      </c>
      <c r="I10" s="2">
        <v>0</v>
      </c>
      <c r="J10" s="4">
        <v>-2300.27</v>
      </c>
      <c r="K10" s="2">
        <v>1670.11</v>
      </c>
    </row>
    <row r="11" spans="1:11" x14ac:dyDescent="0.3">
      <c r="A11" s="3">
        <v>45870</v>
      </c>
      <c r="B11" s="3">
        <v>45869</v>
      </c>
      <c r="C11" s="2" t="s">
        <v>108</v>
      </c>
      <c r="D11" s="2" t="s">
        <v>154</v>
      </c>
      <c r="E11" s="2" t="s">
        <v>106</v>
      </c>
      <c r="F11" s="2" t="s">
        <v>155</v>
      </c>
      <c r="G11" s="2" t="s">
        <v>52</v>
      </c>
      <c r="H11" s="2">
        <v>0</v>
      </c>
      <c r="I11" s="2">
        <v>1815</v>
      </c>
      <c r="J11" s="4">
        <v>1815</v>
      </c>
      <c r="K11" s="2">
        <v>3970.38</v>
      </c>
    </row>
    <row r="12" spans="1:11" x14ac:dyDescent="0.3">
      <c r="A12" s="3">
        <v>45870</v>
      </c>
      <c r="B12" s="3">
        <v>45870</v>
      </c>
      <c r="C12" s="2" t="s">
        <v>26</v>
      </c>
      <c r="D12" s="2" t="s">
        <v>56</v>
      </c>
      <c r="E12" s="2" t="s">
        <v>24</v>
      </c>
      <c r="F12" s="2" t="s">
        <v>57</v>
      </c>
      <c r="G12" s="2" t="s">
        <v>156</v>
      </c>
      <c r="H12" s="2">
        <v>0</v>
      </c>
      <c r="I12" s="2">
        <v>726</v>
      </c>
      <c r="J12" s="4">
        <v>726</v>
      </c>
      <c r="K12" s="2">
        <v>2155.38</v>
      </c>
    </row>
    <row r="13" spans="1:11" x14ac:dyDescent="0.3">
      <c r="J13" s="4"/>
    </row>
    <row r="14" spans="1:11" x14ac:dyDescent="0.3">
      <c r="A14" s="2" t="s">
        <v>49</v>
      </c>
      <c r="J14" s="4"/>
    </row>
    <row r="15" spans="1:11" x14ac:dyDescent="0.3">
      <c r="A15" s="2" t="s">
        <v>50</v>
      </c>
      <c r="J15" s="4"/>
    </row>
  </sheetData>
  <mergeCells count="4">
    <mergeCell ref="A1:E1"/>
    <mergeCell ref="A2:E2"/>
    <mergeCell ref="A3:E3"/>
    <mergeCell ref="A4:E4"/>
  </mergeCells>
  <conditionalFormatting sqref="J7:J15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8D9C-7F80-4D2F-A335-0889E59ACF55}">
  <dimension ref="A1:K17"/>
  <sheetViews>
    <sheetView workbookViewId="0">
      <selection activeCell="L1" sqref="L1:L1048576"/>
    </sheetView>
  </sheetViews>
  <sheetFormatPr baseColWidth="10" defaultColWidth="8.88671875" defaultRowHeight="14.4" x14ac:dyDescent="0.3"/>
  <cols>
    <col min="1" max="1" width="19.6640625" customWidth="1"/>
    <col min="2" max="2" width="20" customWidth="1"/>
    <col min="3" max="3" width="13" customWidth="1"/>
    <col min="4" max="4" width="12" customWidth="1"/>
    <col min="5" max="5" width="22" customWidth="1"/>
    <col min="6" max="6" width="30" customWidth="1"/>
    <col min="7" max="7" width="10" customWidth="1"/>
    <col min="8" max="8" width="18" customWidth="1"/>
    <col min="9" max="9" width="11" customWidth="1"/>
    <col min="10" max="10" width="18" customWidth="1"/>
    <col min="11" max="11" width="15" customWidth="1"/>
  </cols>
  <sheetData>
    <row r="1" spans="1:11" x14ac:dyDescent="0.3">
      <c r="A1" s="5" t="s">
        <v>159</v>
      </c>
      <c r="B1" s="5"/>
      <c r="C1" s="5"/>
      <c r="D1" s="5"/>
      <c r="E1" s="5"/>
      <c r="J1" s="1" t="s">
        <v>160</v>
      </c>
      <c r="K1" s="1">
        <v>4351.28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161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162</v>
      </c>
      <c r="B4" s="6"/>
      <c r="C4" s="6"/>
      <c r="D4" s="6"/>
      <c r="E4" s="6"/>
      <c r="J4" s="1" t="s">
        <v>7</v>
      </c>
      <c r="K4" s="2">
        <v>4351.28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77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 x14ac:dyDescent="0.3">
      <c r="A7" s="3">
        <v>45923</v>
      </c>
      <c r="B7" s="3">
        <v>45923</v>
      </c>
      <c r="C7" s="2" t="s">
        <v>26</v>
      </c>
      <c r="D7" s="2" t="s">
        <v>163</v>
      </c>
      <c r="E7" s="2" t="s">
        <v>24</v>
      </c>
      <c r="F7" s="2" t="s">
        <v>57</v>
      </c>
      <c r="G7" s="2" t="s">
        <v>164</v>
      </c>
      <c r="H7" s="2">
        <v>0</v>
      </c>
      <c r="I7" s="2">
        <v>726</v>
      </c>
      <c r="J7" s="4">
        <v>726</v>
      </c>
      <c r="K7" s="2">
        <v>4351.28</v>
      </c>
    </row>
    <row r="8" spans="1:11" x14ac:dyDescent="0.3">
      <c r="A8" s="3">
        <v>45917</v>
      </c>
      <c r="B8" s="3">
        <v>45917</v>
      </c>
      <c r="C8" s="2" t="s">
        <v>59</v>
      </c>
      <c r="D8" s="2" t="s">
        <v>165</v>
      </c>
      <c r="E8" s="2" t="s">
        <v>35</v>
      </c>
      <c r="F8" s="2" t="s">
        <v>166</v>
      </c>
      <c r="G8" s="2" t="s">
        <v>52</v>
      </c>
      <c r="H8" s="2">
        <v>-2374.7199999999998</v>
      </c>
      <c r="I8" s="2">
        <v>0</v>
      </c>
      <c r="J8" s="4">
        <v>-2374.7199999999998</v>
      </c>
      <c r="K8" s="2">
        <v>3625.28</v>
      </c>
    </row>
    <row r="9" spans="1:11" x14ac:dyDescent="0.3">
      <c r="A9" s="3">
        <v>45917</v>
      </c>
      <c r="B9" s="3">
        <v>45917</v>
      </c>
      <c r="C9" s="2" t="s">
        <v>44</v>
      </c>
      <c r="D9" s="2" t="s">
        <v>102</v>
      </c>
      <c r="E9" s="2" t="s">
        <v>38</v>
      </c>
      <c r="F9" s="2" t="s">
        <v>152</v>
      </c>
      <c r="G9" s="2" t="s">
        <v>52</v>
      </c>
      <c r="H9" s="2">
        <v>-2625.28</v>
      </c>
      <c r="I9" s="2">
        <v>0</v>
      </c>
      <c r="J9" s="4">
        <v>-2625.28</v>
      </c>
      <c r="K9" s="2">
        <v>6000</v>
      </c>
    </row>
    <row r="10" spans="1:11" x14ac:dyDescent="0.3">
      <c r="A10" s="3">
        <v>45917</v>
      </c>
      <c r="B10" s="3">
        <v>45917</v>
      </c>
      <c r="C10" s="2" t="s">
        <v>26</v>
      </c>
      <c r="D10" s="2" t="s">
        <v>167</v>
      </c>
      <c r="E10" s="2" t="s">
        <v>24</v>
      </c>
      <c r="F10" s="2" t="s">
        <v>54</v>
      </c>
      <c r="G10" s="2" t="s">
        <v>55</v>
      </c>
      <c r="H10" s="2">
        <v>0</v>
      </c>
      <c r="I10" s="2">
        <v>6000</v>
      </c>
      <c r="J10" s="4">
        <v>6000</v>
      </c>
      <c r="K10" s="2">
        <v>8625.2800000000007</v>
      </c>
    </row>
    <row r="11" spans="1:11" x14ac:dyDescent="0.3">
      <c r="A11" s="3">
        <v>45916</v>
      </c>
      <c r="B11" s="3">
        <v>45916</v>
      </c>
      <c r="C11" s="2" t="s">
        <v>26</v>
      </c>
      <c r="D11" s="2" t="s">
        <v>168</v>
      </c>
      <c r="E11" s="2" t="s">
        <v>24</v>
      </c>
      <c r="F11" s="2" t="s">
        <v>84</v>
      </c>
      <c r="G11" s="2" t="s">
        <v>169</v>
      </c>
      <c r="H11" s="2">
        <v>0</v>
      </c>
      <c r="I11" s="2">
        <v>1127.72</v>
      </c>
      <c r="J11" s="4">
        <v>1127.72</v>
      </c>
      <c r="K11" s="2">
        <v>2625.28</v>
      </c>
    </row>
    <row r="12" spans="1:11" x14ac:dyDescent="0.3">
      <c r="A12" s="3">
        <v>45908</v>
      </c>
      <c r="B12" s="3">
        <v>45908</v>
      </c>
      <c r="C12" s="2" t="s">
        <v>59</v>
      </c>
      <c r="D12" s="2" t="s">
        <v>170</v>
      </c>
      <c r="E12" s="2" t="s">
        <v>35</v>
      </c>
      <c r="F12" s="2" t="s">
        <v>171</v>
      </c>
      <c r="G12" s="2" t="s">
        <v>52</v>
      </c>
      <c r="H12" s="2">
        <v>-502.44</v>
      </c>
      <c r="I12" s="2">
        <v>0</v>
      </c>
      <c r="J12" s="4">
        <v>-502.44</v>
      </c>
      <c r="K12" s="2">
        <v>1497.56</v>
      </c>
    </row>
    <row r="13" spans="1:11" x14ac:dyDescent="0.3">
      <c r="A13" s="3">
        <v>45908</v>
      </c>
      <c r="B13" s="3">
        <v>45908</v>
      </c>
      <c r="C13" s="2" t="s">
        <v>26</v>
      </c>
      <c r="D13" s="2" t="s">
        <v>172</v>
      </c>
      <c r="E13" s="2" t="s">
        <v>24</v>
      </c>
      <c r="F13" s="2" t="s">
        <v>64</v>
      </c>
      <c r="G13" s="2" t="s">
        <v>173</v>
      </c>
      <c r="H13" s="2">
        <v>0</v>
      </c>
      <c r="I13" s="2">
        <v>2000</v>
      </c>
      <c r="J13" s="4">
        <v>2000</v>
      </c>
      <c r="K13" s="2">
        <v>2000</v>
      </c>
    </row>
    <row r="14" spans="1:11" x14ac:dyDescent="0.3">
      <c r="A14" s="3">
        <v>45908</v>
      </c>
      <c r="B14" s="3">
        <v>45908</v>
      </c>
      <c r="C14" s="2" t="s">
        <v>44</v>
      </c>
      <c r="D14" s="2" t="s">
        <v>47</v>
      </c>
      <c r="E14" s="2" t="s">
        <v>38</v>
      </c>
      <c r="F14" s="2" t="s">
        <v>48</v>
      </c>
      <c r="G14" s="2" t="s">
        <v>52</v>
      </c>
      <c r="H14" s="2">
        <v>-1797.83</v>
      </c>
      <c r="I14" s="2">
        <v>0</v>
      </c>
      <c r="J14" s="4">
        <v>-1797.83</v>
      </c>
      <c r="K14" s="2">
        <v>0</v>
      </c>
    </row>
    <row r="16" spans="1:11" x14ac:dyDescent="0.3">
      <c r="A16" s="2" t="s">
        <v>49</v>
      </c>
    </row>
    <row r="17" spans="1:1" x14ac:dyDescent="0.3">
      <c r="A17" s="2" t="s">
        <v>50</v>
      </c>
    </row>
  </sheetData>
  <mergeCells count="4">
    <mergeCell ref="A1:E1"/>
    <mergeCell ref="A2:E2"/>
    <mergeCell ref="A3:E3"/>
    <mergeCell ref="A4:E4"/>
  </mergeCells>
  <conditionalFormatting sqref="J7:J14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1D07E-952E-4C03-8CD5-62F86A5F7440}">
  <dimension ref="A1:K21"/>
  <sheetViews>
    <sheetView workbookViewId="0">
      <selection activeCell="L1" sqref="L1:L1048576"/>
    </sheetView>
  </sheetViews>
  <sheetFormatPr baseColWidth="10" defaultColWidth="8.88671875" defaultRowHeight="14.4" x14ac:dyDescent="0.3"/>
  <cols>
    <col min="1" max="1" width="17.109375" customWidth="1"/>
    <col min="2" max="2" width="20" customWidth="1"/>
    <col min="3" max="4" width="13" customWidth="1"/>
    <col min="5" max="5" width="15" customWidth="1"/>
    <col min="6" max="6" width="30" customWidth="1"/>
    <col min="7" max="7" width="10" customWidth="1"/>
    <col min="8" max="8" width="11" customWidth="1"/>
    <col min="9" max="10" width="15" customWidth="1"/>
    <col min="11" max="11" width="18" customWidth="1"/>
  </cols>
  <sheetData>
    <row r="1" spans="1:11" x14ac:dyDescent="0.3">
      <c r="A1" s="5" t="s">
        <v>159</v>
      </c>
      <c r="B1" s="5"/>
      <c r="C1" s="5"/>
      <c r="D1" s="5"/>
      <c r="E1" s="5"/>
      <c r="J1" s="1" t="s">
        <v>160</v>
      </c>
      <c r="K1" s="1">
        <v>121718.39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174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175</v>
      </c>
      <c r="B4" s="6"/>
      <c r="C4" s="6"/>
      <c r="D4" s="6"/>
      <c r="E4" s="6"/>
      <c r="J4" s="1" t="s">
        <v>7</v>
      </c>
      <c r="K4" s="2">
        <v>121718.39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77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 x14ac:dyDescent="0.3">
      <c r="A7" s="3">
        <v>45950</v>
      </c>
      <c r="B7" s="3">
        <v>45950</v>
      </c>
      <c r="C7" s="2" t="s">
        <v>22</v>
      </c>
      <c r="D7" s="2" t="s">
        <v>176</v>
      </c>
      <c r="E7" s="2" t="s">
        <v>24</v>
      </c>
      <c r="F7" s="2" t="s">
        <v>25</v>
      </c>
      <c r="G7" s="2" t="s">
        <v>52</v>
      </c>
      <c r="H7" s="2">
        <v>0</v>
      </c>
      <c r="I7" s="2">
        <v>20000</v>
      </c>
      <c r="J7" s="4">
        <v>20000</v>
      </c>
      <c r="K7" s="2">
        <v>108733.94</v>
      </c>
    </row>
    <row r="8" spans="1:11" x14ac:dyDescent="0.3">
      <c r="A8" s="3">
        <v>45947</v>
      </c>
      <c r="B8" s="3">
        <v>45950</v>
      </c>
      <c r="C8" s="2" t="s">
        <v>18</v>
      </c>
      <c r="D8" s="2" t="s">
        <v>177</v>
      </c>
      <c r="E8" s="2" t="s">
        <v>20</v>
      </c>
      <c r="F8" s="2" t="s">
        <v>178</v>
      </c>
      <c r="G8" s="2" t="s">
        <v>52</v>
      </c>
      <c r="H8" s="2">
        <v>-16379.87</v>
      </c>
      <c r="I8" s="2">
        <v>0</v>
      </c>
      <c r="J8" s="4">
        <v>-16379.87</v>
      </c>
      <c r="K8" s="2">
        <v>88733.94</v>
      </c>
    </row>
    <row r="9" spans="1:11" x14ac:dyDescent="0.3">
      <c r="A9" s="3">
        <v>45947</v>
      </c>
      <c r="B9" s="3">
        <v>45947</v>
      </c>
      <c r="C9" s="2" t="s">
        <v>33</v>
      </c>
      <c r="D9" s="2" t="s">
        <v>179</v>
      </c>
      <c r="E9" s="2" t="s">
        <v>35</v>
      </c>
      <c r="F9" s="2" t="s">
        <v>180</v>
      </c>
      <c r="G9" s="2" t="s">
        <v>52</v>
      </c>
      <c r="H9" s="2">
        <v>-112.5</v>
      </c>
      <c r="I9" s="2">
        <v>0</v>
      </c>
      <c r="J9" s="4">
        <v>-112.5</v>
      </c>
      <c r="K9" s="2">
        <v>105113.81</v>
      </c>
    </row>
    <row r="10" spans="1:11" x14ac:dyDescent="0.3">
      <c r="A10" s="3">
        <v>45947</v>
      </c>
      <c r="B10" s="3">
        <v>45947</v>
      </c>
      <c r="C10" s="2" t="s">
        <v>37</v>
      </c>
      <c r="D10" s="2" t="s">
        <v>179</v>
      </c>
      <c r="E10" s="2" t="s">
        <v>38</v>
      </c>
      <c r="F10" s="2" t="s">
        <v>181</v>
      </c>
      <c r="G10" s="2" t="s">
        <v>52</v>
      </c>
      <c r="H10" s="2">
        <v>0</v>
      </c>
      <c r="I10" s="2">
        <v>15000</v>
      </c>
      <c r="J10" s="4">
        <v>15000</v>
      </c>
      <c r="K10" s="2">
        <v>105226.31</v>
      </c>
    </row>
    <row r="11" spans="1:11" x14ac:dyDescent="0.3">
      <c r="A11" s="3">
        <v>45947</v>
      </c>
      <c r="B11" s="3">
        <v>45950</v>
      </c>
      <c r="C11" s="2" t="s">
        <v>18</v>
      </c>
      <c r="D11" s="2" t="s">
        <v>182</v>
      </c>
      <c r="E11" s="2" t="s">
        <v>20</v>
      </c>
      <c r="F11" s="2" t="s">
        <v>183</v>
      </c>
      <c r="G11" s="2" t="s">
        <v>52</v>
      </c>
      <c r="H11" s="2">
        <v>-8895.34</v>
      </c>
      <c r="I11" s="2">
        <v>0</v>
      </c>
      <c r="J11" s="4">
        <v>-8895.34</v>
      </c>
      <c r="K11" s="2">
        <v>90226.31</v>
      </c>
    </row>
    <row r="12" spans="1:11" x14ac:dyDescent="0.3">
      <c r="A12" s="3">
        <v>45947</v>
      </c>
      <c r="B12" s="3">
        <v>45950</v>
      </c>
      <c r="C12" s="2" t="s">
        <v>18</v>
      </c>
      <c r="D12" s="2" t="s">
        <v>184</v>
      </c>
      <c r="E12" s="2" t="s">
        <v>20</v>
      </c>
      <c r="F12" s="2" t="s">
        <v>185</v>
      </c>
      <c r="G12" s="2" t="s">
        <v>52</v>
      </c>
      <c r="H12" s="2">
        <v>-1494.63</v>
      </c>
      <c r="I12" s="2">
        <v>0</v>
      </c>
      <c r="J12" s="4">
        <v>-1494.63</v>
      </c>
      <c r="K12" s="2">
        <v>99121.65</v>
      </c>
    </row>
    <row r="13" spans="1:11" x14ac:dyDescent="0.3">
      <c r="A13" s="3">
        <v>45947</v>
      </c>
      <c r="B13" s="3">
        <v>45947</v>
      </c>
      <c r="C13" s="2" t="s">
        <v>44</v>
      </c>
      <c r="D13" s="2" t="s">
        <v>102</v>
      </c>
      <c r="E13" s="2" t="s">
        <v>38</v>
      </c>
      <c r="F13" s="2" t="s">
        <v>152</v>
      </c>
      <c r="G13" s="2" t="s">
        <v>52</v>
      </c>
      <c r="H13" s="2">
        <v>-5000</v>
      </c>
      <c r="I13" s="2">
        <v>0</v>
      </c>
      <c r="J13" s="4">
        <v>-5000</v>
      </c>
      <c r="K13" s="2">
        <v>100616.28</v>
      </c>
    </row>
    <row r="14" spans="1:11" x14ac:dyDescent="0.3">
      <c r="A14" s="3">
        <v>45943</v>
      </c>
      <c r="B14" s="3">
        <v>45943</v>
      </c>
      <c r="C14" s="2" t="s">
        <v>26</v>
      </c>
      <c r="D14" s="2" t="s">
        <v>186</v>
      </c>
      <c r="E14" s="2" t="s">
        <v>24</v>
      </c>
      <c r="F14" s="2" t="s">
        <v>64</v>
      </c>
      <c r="G14" s="2" t="s">
        <v>187</v>
      </c>
      <c r="H14" s="2">
        <v>0</v>
      </c>
      <c r="I14" s="2">
        <v>5000</v>
      </c>
      <c r="J14" s="4">
        <v>5000</v>
      </c>
      <c r="K14" s="2">
        <v>105616.28</v>
      </c>
    </row>
    <row r="15" spans="1:11" x14ac:dyDescent="0.3">
      <c r="A15" s="3">
        <v>45943</v>
      </c>
      <c r="B15" s="3">
        <v>45943</v>
      </c>
      <c r="C15" s="2" t="s">
        <v>22</v>
      </c>
      <c r="D15" s="2" t="s">
        <v>188</v>
      </c>
      <c r="E15" s="2" t="s">
        <v>24</v>
      </c>
      <c r="F15" s="2" t="s">
        <v>25</v>
      </c>
      <c r="G15" s="2" t="s">
        <v>52</v>
      </c>
      <c r="H15" s="2">
        <v>0</v>
      </c>
      <c r="I15" s="2">
        <v>80000</v>
      </c>
      <c r="J15" s="4">
        <v>80000</v>
      </c>
      <c r="K15" s="2">
        <v>100616.28</v>
      </c>
    </row>
    <row r="16" spans="1:11" x14ac:dyDescent="0.3">
      <c r="A16" s="3">
        <v>45939</v>
      </c>
      <c r="B16" s="3">
        <v>45939</v>
      </c>
      <c r="C16" s="2" t="s">
        <v>29</v>
      </c>
      <c r="D16" s="2" t="s">
        <v>30</v>
      </c>
      <c r="E16" s="2" t="s">
        <v>31</v>
      </c>
      <c r="F16" s="2" t="s">
        <v>32</v>
      </c>
      <c r="G16" s="2" t="s">
        <v>52</v>
      </c>
      <c r="H16" s="2">
        <v>-9.73</v>
      </c>
      <c r="I16" s="2">
        <v>0</v>
      </c>
      <c r="J16" s="4">
        <v>-9.73</v>
      </c>
      <c r="K16" s="2">
        <v>20616.28</v>
      </c>
    </row>
    <row r="17" spans="1:11" x14ac:dyDescent="0.3">
      <c r="A17" s="3">
        <v>45938</v>
      </c>
      <c r="B17" s="3">
        <v>45938</v>
      </c>
      <c r="C17" s="2" t="s">
        <v>44</v>
      </c>
      <c r="D17" s="2" t="s">
        <v>47</v>
      </c>
      <c r="E17" s="2" t="s">
        <v>38</v>
      </c>
      <c r="F17" s="2" t="s">
        <v>48</v>
      </c>
      <c r="G17" s="2" t="s">
        <v>52</v>
      </c>
      <c r="H17" s="2">
        <v>-2300.27</v>
      </c>
      <c r="I17" s="2">
        <v>0</v>
      </c>
      <c r="J17" s="4">
        <v>-2300.27</v>
      </c>
      <c r="K17" s="2">
        <v>20626.009999999998</v>
      </c>
    </row>
    <row r="18" spans="1:11" x14ac:dyDescent="0.3">
      <c r="A18" s="3">
        <v>45933</v>
      </c>
      <c r="B18" s="3">
        <v>45933</v>
      </c>
      <c r="C18" s="2" t="s">
        <v>113</v>
      </c>
      <c r="D18" s="2" t="s">
        <v>189</v>
      </c>
      <c r="E18" s="2" t="s">
        <v>35</v>
      </c>
      <c r="F18" s="2" t="s">
        <v>125</v>
      </c>
      <c r="G18" s="2" t="s">
        <v>52</v>
      </c>
      <c r="H18" s="2">
        <v>0</v>
      </c>
      <c r="I18" s="2">
        <v>18575</v>
      </c>
      <c r="J18" s="4">
        <v>18575</v>
      </c>
      <c r="K18" s="2">
        <v>22926.28</v>
      </c>
    </row>
    <row r="20" spans="1:11" x14ac:dyDescent="0.3">
      <c r="A20" s="2" t="s">
        <v>49</v>
      </c>
    </row>
    <row r="21" spans="1:11" x14ac:dyDescent="0.3">
      <c r="A21" s="2" t="s">
        <v>50</v>
      </c>
    </row>
  </sheetData>
  <mergeCells count="4">
    <mergeCell ref="A1:E1"/>
    <mergeCell ref="A2:E2"/>
    <mergeCell ref="A3:E3"/>
    <mergeCell ref="A4:E4"/>
  </mergeCells>
  <conditionalFormatting sqref="J7:J18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28E3-BB04-49B7-81E6-FB88B72E4A6E}">
  <dimension ref="A1:K13"/>
  <sheetViews>
    <sheetView workbookViewId="0">
      <selection activeCell="L1" sqref="L1:L1048576"/>
    </sheetView>
  </sheetViews>
  <sheetFormatPr baseColWidth="10" defaultColWidth="8.88671875" defaultRowHeight="14.4" x14ac:dyDescent="0.3"/>
  <cols>
    <col min="1" max="1" width="14.109375" customWidth="1"/>
    <col min="2" max="2" width="20" customWidth="1"/>
    <col min="3" max="3" width="13" customWidth="1"/>
    <col min="4" max="4" width="12" customWidth="1"/>
    <col min="5" max="5" width="22" customWidth="1"/>
    <col min="6" max="6" width="30" customWidth="1"/>
    <col min="7" max="7" width="10" customWidth="1"/>
    <col min="8" max="8" width="8.6640625" bestFit="1" customWidth="1"/>
    <col min="9" max="9" width="11" customWidth="1"/>
    <col min="10" max="10" width="18" customWidth="1"/>
    <col min="11" max="11" width="19" customWidth="1"/>
  </cols>
  <sheetData>
    <row r="1" spans="1:11" x14ac:dyDescent="0.3">
      <c r="A1" s="5" t="s">
        <v>159</v>
      </c>
      <c r="B1" s="5"/>
      <c r="C1" s="5"/>
      <c r="D1" s="5"/>
      <c r="E1" s="5"/>
      <c r="J1" s="1" t="s">
        <v>160</v>
      </c>
      <c r="K1" s="1">
        <v>118973.83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198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197</v>
      </c>
      <c r="B4" s="6"/>
      <c r="C4" s="6"/>
      <c r="D4" s="6"/>
      <c r="E4" s="6"/>
      <c r="J4" s="1" t="s">
        <v>7</v>
      </c>
      <c r="K4" s="2">
        <v>118973.83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77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 x14ac:dyDescent="0.3">
      <c r="A7" s="3">
        <v>45979</v>
      </c>
      <c r="B7" s="3">
        <v>45979</v>
      </c>
      <c r="C7" s="2" t="s">
        <v>26</v>
      </c>
      <c r="D7" s="2" t="s">
        <v>196</v>
      </c>
      <c r="E7" s="2" t="s">
        <v>24</v>
      </c>
      <c r="F7" s="2" t="s">
        <v>84</v>
      </c>
      <c r="G7" s="2" t="s">
        <v>195</v>
      </c>
      <c r="H7" s="2">
        <v>0</v>
      </c>
      <c r="I7" s="2">
        <v>2255.44</v>
      </c>
      <c r="J7" s="4">
        <v>2255.44</v>
      </c>
      <c r="K7" s="2">
        <v>118973.83</v>
      </c>
    </row>
    <row r="8" spans="1:11" x14ac:dyDescent="0.3">
      <c r="A8" s="3">
        <v>45978</v>
      </c>
      <c r="B8" s="3">
        <v>45978</v>
      </c>
      <c r="C8" s="2" t="s">
        <v>44</v>
      </c>
      <c r="D8" s="2" t="s">
        <v>194</v>
      </c>
      <c r="E8" s="2" t="s">
        <v>38</v>
      </c>
      <c r="F8" s="2" t="s">
        <v>193</v>
      </c>
      <c r="G8" s="2" t="s">
        <v>52</v>
      </c>
      <c r="H8" s="2">
        <v>-5000</v>
      </c>
      <c r="I8" s="2">
        <v>0</v>
      </c>
      <c r="J8" s="4">
        <v>-5000</v>
      </c>
      <c r="K8" s="2">
        <v>116718.39</v>
      </c>
    </row>
    <row r="9" spans="1:11" x14ac:dyDescent="0.3">
      <c r="A9" s="3">
        <v>45972</v>
      </c>
      <c r="B9" s="3">
        <v>45972</v>
      </c>
      <c r="C9" s="2" t="s">
        <v>26</v>
      </c>
      <c r="D9" s="2" t="s">
        <v>192</v>
      </c>
      <c r="E9" s="2" t="s">
        <v>24</v>
      </c>
      <c r="F9" s="2" t="s">
        <v>191</v>
      </c>
      <c r="G9" s="2" t="s">
        <v>190</v>
      </c>
      <c r="H9" s="2">
        <v>0</v>
      </c>
      <c r="I9" s="2">
        <v>15284.72</v>
      </c>
      <c r="J9" s="4">
        <v>15284.72</v>
      </c>
      <c r="K9" s="2">
        <v>121718.39</v>
      </c>
    </row>
    <row r="10" spans="1:11" x14ac:dyDescent="0.3">
      <c r="A10" s="3">
        <v>45969</v>
      </c>
      <c r="B10" s="3">
        <v>45969</v>
      </c>
      <c r="C10" s="2" t="s">
        <v>44</v>
      </c>
      <c r="D10" s="2" t="s">
        <v>47</v>
      </c>
      <c r="E10" s="2" t="s">
        <v>38</v>
      </c>
      <c r="F10" s="2" t="s">
        <v>48</v>
      </c>
      <c r="G10" s="2" t="s">
        <v>52</v>
      </c>
      <c r="H10" s="2">
        <v>-2300.27</v>
      </c>
      <c r="I10" s="2">
        <v>0</v>
      </c>
      <c r="J10" s="4">
        <v>-2300.27</v>
      </c>
      <c r="K10" s="2">
        <v>106433.67</v>
      </c>
    </row>
    <row r="12" spans="1:11" x14ac:dyDescent="0.3">
      <c r="A12" s="2" t="s">
        <v>49</v>
      </c>
    </row>
    <row r="13" spans="1:11" x14ac:dyDescent="0.3">
      <c r="A13" s="2" t="s">
        <v>50</v>
      </c>
    </row>
  </sheetData>
  <mergeCells count="4">
    <mergeCell ref="A1:E1"/>
    <mergeCell ref="A2:E2"/>
    <mergeCell ref="A3:E3"/>
    <mergeCell ref="A4:E4"/>
  </mergeCells>
  <conditionalFormatting sqref="J7:J10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A9FB-99B7-4FBD-A1F6-777427BCE72E}">
  <dimension ref="A1:K13"/>
  <sheetViews>
    <sheetView workbookViewId="0">
      <selection activeCell="L1" sqref="L1:L1048576"/>
    </sheetView>
  </sheetViews>
  <sheetFormatPr baseColWidth="10" defaultColWidth="19.6640625" defaultRowHeight="14.4" x14ac:dyDescent="0.3"/>
  <cols>
    <col min="3" max="3" width="6.21875" bestFit="1" customWidth="1"/>
    <col min="4" max="4" width="11.21875" bestFit="1" customWidth="1"/>
    <col min="6" max="6" width="27" bestFit="1" customWidth="1"/>
    <col min="7" max="7" width="13.33203125" bestFit="1" customWidth="1"/>
    <col min="8" max="8" width="8.6640625" bestFit="1" customWidth="1"/>
    <col min="9" max="9" width="8" bestFit="1" customWidth="1"/>
  </cols>
  <sheetData>
    <row r="1" spans="1:11" x14ac:dyDescent="0.3">
      <c r="A1" s="5" t="s">
        <v>159</v>
      </c>
      <c r="B1" s="5"/>
      <c r="C1" s="5"/>
      <c r="D1" s="5"/>
      <c r="E1" s="5"/>
      <c r="J1" s="1" t="s">
        <v>160</v>
      </c>
      <c r="K1" s="1">
        <v>110601.95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199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200</v>
      </c>
      <c r="B4" s="6"/>
      <c r="C4" s="6"/>
      <c r="D4" s="6"/>
      <c r="E4" s="6"/>
      <c r="J4" s="1" t="s">
        <v>7</v>
      </c>
      <c r="K4" s="2">
        <v>110601.95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77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 x14ac:dyDescent="0.3">
      <c r="A7" s="3">
        <v>46008</v>
      </c>
      <c r="B7" s="3">
        <v>46008</v>
      </c>
      <c r="C7" s="2" t="s">
        <v>44</v>
      </c>
      <c r="D7" s="2" t="s">
        <v>194</v>
      </c>
      <c r="E7" s="2" t="s">
        <v>38</v>
      </c>
      <c r="F7" s="2" t="s">
        <v>193</v>
      </c>
      <c r="G7" s="2" t="s">
        <v>52</v>
      </c>
      <c r="H7" s="2">
        <v>-5000</v>
      </c>
      <c r="I7" s="2">
        <v>0</v>
      </c>
      <c r="J7" s="4">
        <v>-5000</v>
      </c>
      <c r="K7" s="2">
        <v>112902.22</v>
      </c>
    </row>
    <row r="8" spans="1:11" x14ac:dyDescent="0.3">
      <c r="A8" s="3">
        <v>46008</v>
      </c>
      <c r="B8" s="3">
        <v>46008</v>
      </c>
      <c r="C8" s="2" t="s">
        <v>26</v>
      </c>
      <c r="D8" s="2" t="s">
        <v>201</v>
      </c>
      <c r="E8" s="2" t="s">
        <v>24</v>
      </c>
      <c r="F8" s="2" t="s">
        <v>84</v>
      </c>
      <c r="G8" s="2" t="s">
        <v>202</v>
      </c>
      <c r="H8" s="2">
        <v>0</v>
      </c>
      <c r="I8" s="2">
        <v>1127.72</v>
      </c>
      <c r="J8" s="4">
        <v>1127.72</v>
      </c>
      <c r="K8" s="2">
        <v>117902.22</v>
      </c>
    </row>
    <row r="9" spans="1:11" x14ac:dyDescent="0.3">
      <c r="A9" s="3">
        <v>46000</v>
      </c>
      <c r="B9" s="3">
        <v>46000</v>
      </c>
      <c r="C9" s="2" t="s">
        <v>203</v>
      </c>
      <c r="D9" s="2" t="s">
        <v>204</v>
      </c>
      <c r="E9" s="2" t="s">
        <v>35</v>
      </c>
      <c r="F9" s="2" t="s">
        <v>205</v>
      </c>
      <c r="G9" s="2" t="s">
        <v>52</v>
      </c>
      <c r="H9" s="2">
        <v>0</v>
      </c>
      <c r="I9" s="2">
        <v>100.94</v>
      </c>
      <c r="J9" s="4">
        <v>100.94</v>
      </c>
      <c r="K9" s="2">
        <v>116774.5</v>
      </c>
    </row>
    <row r="10" spans="1:11" x14ac:dyDescent="0.3">
      <c r="A10" s="3">
        <v>45999</v>
      </c>
      <c r="B10" s="3">
        <v>45999</v>
      </c>
      <c r="C10" s="2" t="s">
        <v>44</v>
      </c>
      <c r="D10" s="2" t="s">
        <v>47</v>
      </c>
      <c r="E10" s="2" t="s">
        <v>38</v>
      </c>
      <c r="F10" s="2" t="s">
        <v>48</v>
      </c>
      <c r="G10" s="2" t="s">
        <v>52</v>
      </c>
      <c r="H10" s="2">
        <v>-2300.27</v>
      </c>
      <c r="I10" s="2">
        <v>0</v>
      </c>
      <c r="J10" s="4">
        <v>-2300.27</v>
      </c>
      <c r="K10" s="2">
        <v>116673.56</v>
      </c>
    </row>
    <row r="12" spans="1:11" x14ac:dyDescent="0.3">
      <c r="A12" s="2" t="s">
        <v>49</v>
      </c>
    </row>
    <row r="13" spans="1:11" x14ac:dyDescent="0.3">
      <c r="A13" s="2" t="s">
        <v>50</v>
      </c>
    </row>
  </sheetData>
  <mergeCells count="4">
    <mergeCell ref="A1:E1"/>
    <mergeCell ref="A2:E2"/>
    <mergeCell ref="A3:E3"/>
    <mergeCell ref="A4:E4"/>
  </mergeCells>
  <conditionalFormatting sqref="J7:J1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Ene-Feb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2025-02-18T12:05:56Z</dcterms:created>
  <dcterms:modified xsi:type="dcterms:W3CDTF">2026-02-25T08:16:56Z</dcterms:modified>
  <cp:category/>
</cp:coreProperties>
</file>