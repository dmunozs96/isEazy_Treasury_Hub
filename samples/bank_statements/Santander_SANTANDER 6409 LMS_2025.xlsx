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263" documentId="8_{8B183D7F-6ADB-453B-AA71-FE4FB3738260}" xr6:coauthVersionLast="47" xr6:coauthVersionMax="47" xr10:uidLastSave="{76670BD7-CF71-4D44-BE6E-35E917648CC3}"/>
  <bookViews>
    <workbookView xWindow="28680" yWindow="-30" windowWidth="29040" windowHeight="15720" activeTab="10" xr2:uid="{00000000-000D-0000-FFFF-FFFF00000000}"/>
  </bookViews>
  <sheets>
    <sheet name="Enero- Febrero" sheetId="2" r:id="rId1"/>
    <sheet name="MARZO" sheetId="3" r:id="rId2"/>
    <sheet name="ABRIL" sheetId="5" r:id="rId3"/>
    <sheet name="MAYO" sheetId="7" r:id="rId4"/>
    <sheet name="JUNIO" sheetId="8" r:id="rId5"/>
    <sheet name="JULIO" sheetId="9" r:id="rId6"/>
    <sheet name="AGOSTO" sheetId="10" r:id="rId7"/>
    <sheet name="SEPTIEMBRE" sheetId="11" r:id="rId8"/>
    <sheet name="OCTUBRE" sheetId="12" r:id="rId9"/>
    <sheet name="NOVIEMBRE" sheetId="13" r:id="rId10"/>
    <sheet name="DICIEMBRE" sheetId="14" r:id="rId11"/>
  </sheets>
  <definedNames>
    <definedName name="_xlnm._FilterDatabase" localSheetId="0" hidden="1">'Enero- Febrero'!$A$8:$L$28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<sst xmlns="http://schemas.openxmlformats.org/spreadsheetml/2006/main" count="1157" uniqueCount="283">
  <si>
    <t>Titular</t>
  </si>
  <si>
    <t>Saldo disponible</t>
  </si>
  <si>
    <t>Saldo real</t>
  </si>
  <si>
    <t>ISEAZY LMS SL</t>
  </si>
  <si>
    <t>Cuenta</t>
  </si>
  <si>
    <t>Retenciones</t>
  </si>
  <si>
    <t>Saldo consolidado</t>
  </si>
  <si>
    <t>ES10 0075 1788 51 0600106409</t>
  </si>
  <si>
    <t>0,00 EUR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</si>
  <si>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</si>
  <si>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</si>
  <si>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</si>
  <si>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</si>
  <si>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</si>
  <si>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</si>
  <si>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</si>
  <si>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</si>
  <si>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</si>
  <si>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</si>
  <si>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</si>
  <si>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27/02/2025</t>
  </si>
  <si>
    <t>Transferencia De Avintia Proyectos Y Construcciones S.l., Concepto Scoriseazy Lms,s.l.fokn.2025.0052.</t>
  </si>
  <si>
    <t>EUR</t>
  </si>
  <si>
    <t>071</t>
  </si>
  <si>
    <t/>
  </si>
  <si>
    <t>26/02/2025</t>
  </si>
  <si>
    <t>Transferencia De Serviasv Servicios Compartidos S.l, Concepto Factura Fokn20241320.</t>
  </si>
  <si>
    <t>25/02/2025</t>
  </si>
  <si>
    <t>Transferencia A Favor De Iseazy Lms Concepto: Traspaso Liquidez A Okn Ib De Okn Pp</t>
  </si>
  <si>
    <t>072</t>
  </si>
  <si>
    <t>21/02/2025</t>
  </si>
  <si>
    <t>Transferencia De Dkv Seguros Y Reaseguros Sociedad Anonima Espanola, .</t>
  </si>
  <si>
    <t>Transferencia De Informa Db Sau(s.m.e.), Concepto /fac/f.okn.2025.0038/fac/f.okn.2025.0128.</t>
  </si>
  <si>
    <t>19/02/2025</t>
  </si>
  <si>
    <t>Transferencia De Iberdrola Clientes Portugal,uni.lda, Concepto Detalle En Carta De Aviso De Pago -proveedor: 0000111367 Propuesta Pe700 - Fecha 20250218 - Doc.sap: 3600001545-25.</t>
  </si>
  <si>
    <t>14/02/2025</t>
  </si>
  <si>
    <t>Transferencia A Favor De Isdin Sa Concepto: Devolución Fras. F.0kn.2022.0081, 177 Y 178 Pagadas Doble</t>
  </si>
  <si>
    <t>13/02/2025</t>
  </si>
  <si>
    <t>Transferencia De Metro Bilbao, S.a., Concepto No.f.okn.2025.0004/13.1.2025.</t>
  </si>
  <si>
    <t>07/02/2025</t>
  </si>
  <si>
    <t>Liquidacion Periodica Prestamo 0049 1837 123 0035559</t>
  </si>
  <si>
    <t>100</t>
  </si>
  <si>
    <t>Transferencia De Iberdrola Financiacion S.a, Concepto Detalle En Carta De Aviso De Pago - Proveedor: 0000111367 Propuesta Dt000 - Fecha 20250103 - Doc.sap: 3600002896-25.</t>
  </si>
  <si>
    <t>03/01/2025</t>
  </si>
  <si>
    <t>07/01/2025</t>
  </si>
  <si>
    <t>08/01/2025</t>
  </si>
  <si>
    <t>Transferencia A Favor De Bizpills Group Sl Concepto: Alquiler</t>
  </si>
  <si>
    <t>10/01/2025</t>
  </si>
  <si>
    <t>Comisiones Y Gastos De Transferencia</t>
  </si>
  <si>
    <t>Transferencia De Laboratorios Cinfa, S.a. Ctra. Olaz-chipi, 10, Concepto No.f.okn.2024.1144/11.11.2024.</t>
  </si>
  <si>
    <t>13/01/2025</t>
  </si>
  <si>
    <t>Transferencia De Metro Bilbao, S.a., Concepto No.f.okn.2024.1290/9.12.2024.</t>
  </si>
  <si>
    <t>14/01/2025</t>
  </si>
  <si>
    <t>Traspaso: Traspaso Liquidez A Okn Pp Crédito De Okn Pp Corriente</t>
  </si>
  <si>
    <t>21/01/2025</t>
  </si>
  <si>
    <t>22/01/2025</t>
  </si>
  <si>
    <t>Transferencia De Serviasv Servicios Compartidos S.l, Concepto Factura Fokn20241139.</t>
  </si>
  <si>
    <t>28/01/2025</t>
  </si>
  <si>
    <t>Transferencia Inmediata De Joyeria Tous S.a., Concepto /inv/fokn.2024.1374 18.12.2024</t>
  </si>
  <si>
    <t>30/01/2025</t>
  </si>
  <si>
    <t>Transferencia De Iberdrola Financiacion S.a, Concepto Detalle En Carta De Aviso De Pago - Proveedor: 0000111367 Propuesta Dt000 - Fecha 20250131 - Doc.sap: 3600036923-25.</t>
  </si>
  <si>
    <t>31/01/2025</t>
  </si>
  <si>
    <t>12/03/2025 | 11:28:22</t>
  </si>
  <si>
    <t>Movimientos Fecha desde 01/01/2025 Fecha Hasta 28/02/2025</t>
  </si>
  <si>
    <t>2.822,03 EUR</t>
  </si>
  <si>
    <t>Liquidacion Del Contrato 0005527 300</t>
  </si>
  <si>
    <t>03/03/2025</t>
  </si>
  <si>
    <t>04/03/2025</t>
  </si>
  <si>
    <t>07/03/2025</t>
  </si>
  <si>
    <t>Transferencia De Metro Bilbao, S.a., Concepto No.f.okn.2025.0117/10.2.2025.</t>
  </si>
  <si>
    <t>14/03/2025</t>
  </si>
  <si>
    <t>Transferencia De Informa Db Sau(s.m.e.), Concepto /fac/f.okn.2025.0309.</t>
  </si>
  <si>
    <t>24/03/2025</t>
  </si>
  <si>
    <t>Transferencia De Serviasv Servicios Compartidos Sl, Concepto Factura Fokn20250055.</t>
  </si>
  <si>
    <t>26/03/2025</t>
  </si>
  <si>
    <t>Transferencia De Iseazy Lms Sl, Concepto Traspaso Liquidez A Okn Pp De Okn Sch.</t>
  </si>
  <si>
    <t>Transferencia De Iseazy Lms Sl, Concepto Traspaso Liquidez A Okn Pp De Okn Sch Credito.</t>
  </si>
  <si>
    <t>Transferencia De Iberdrola Financiacion S.a, Concepto Detalle En Carta De Aviso De Pago - Proveedor: 0000111367 Propuesta Dt000 - Fecha 20250328 - Doc.sap: 3600067349-25.</t>
  </si>
  <si>
    <t>28/03/2025</t>
  </si>
  <si>
    <t>Transferencia Inmediata De Joyeria Tous S.a., Concepto /inv/fokn.2025.0079 28.1.2025</t>
  </si>
  <si>
    <t>11/04/2025 | 12:48:01</t>
  </si>
  <si>
    <t>Movimientos Fecha desde 01/03/2025 Fecha Hasta 31/03/2025</t>
  </si>
  <si>
    <t>37.207,78 EUR</t>
  </si>
  <si>
    <t>Transferencia De Iberdrola Financiacion S.a, Concepto Detalle En Carta De Aviso De Pago - Proveedor: 0000111367 Propuesta Dt000 - Fecha 20250404 - Doc.sap: 3600085650-25.</t>
  </si>
  <si>
    <t>04/04/2025</t>
  </si>
  <si>
    <t>07/04/2025</t>
  </si>
  <si>
    <t>08/04/2025</t>
  </si>
  <si>
    <t>Transferencia De Seidor Opentrends Sl, Concepto Fact:f.okn.2024.0974.</t>
  </si>
  <si>
    <t>10/04/2025</t>
  </si>
  <si>
    <t>Transferencia De Seidor Opentrends Sl, Concepto Fact:f.okn.2024.1087.</t>
  </si>
  <si>
    <t>Transferencia De Seidor Opentrends Sl, Concepto Fact:f.okn.2024.1372.</t>
  </si>
  <si>
    <t>Transferencia De Metro Bilbao, S.a., Concepto No.f.okn.2025.0285/10.3.2025.</t>
  </si>
  <si>
    <t>14/04/2025</t>
  </si>
  <si>
    <t>070</t>
  </si>
  <si>
    <t>Recepcion De Entrega A Cuenta Tarjeta 4277920009619120</t>
  </si>
  <si>
    <t>Recepcion De Entrega A Cuenta Tarjeta 4273050012769557</t>
  </si>
  <si>
    <t>Transferencia A Favor De Bizpills Group Bpo Concepto: Pago Servicios Corporativos Bpo Bkr De Bp Pp</t>
  </si>
  <si>
    <t>17/04/2025</t>
  </si>
  <si>
    <t>Transferencia De Informa Db Sau, Concepto /fac/f.okn.2025.0383.</t>
  </si>
  <si>
    <t>23/04/2025</t>
  </si>
  <si>
    <t>25/04/2025</t>
  </si>
  <si>
    <t>Transferencia De Serviasv Servicios Compartidos Sl, Concepto Factura Fokn20250173.</t>
  </si>
  <si>
    <t>28/04/2025</t>
  </si>
  <si>
    <t>Transferencia De Iberdrola Financiacion S.a, Concepto Detalle En Carta De Aviso De Pago - Proveedor: 0000111367 Propuesta Dt000 - Fecha 20250428 - Doc.sap: 3600098062-25.</t>
  </si>
  <si>
    <t>07/05/2025</t>
  </si>
  <si>
    <t>Transferencia A Favor De Bizpills Group Bpo Concepto: Pago Servicios Corporativos A Bpo Ib De Okn Pp</t>
  </si>
  <si>
    <t>Transferencia A Favor De V-valley Advanced Solutions Espana, S.a. Concepto: Pago Su Fra. V325038329</t>
  </si>
  <si>
    <t>02/05/2025</t>
  </si>
  <si>
    <t>Transferencia De Iberdrola Financiacion S.a, Concepto Detalle En Carta De Aviso De Pago - Proveedor: 0000111367 Propuesta Dt000 - Fecha 20250502 - Doc.sap: 3600101775-25.</t>
  </si>
  <si>
    <t>30/04/2025</t>
  </si>
  <si>
    <t>Transferencia Inmediata De Joyeria Tous S.a., Concepto /inv/f.okn.2025.0371 31.3.2025/inv/fokn.2025.0179 21.2.2025</t>
  </si>
  <si>
    <t>Transferencia De Avintia Proyectos Y Construcciones, S.l., Concepto Scoriseazy Lms,s.l.f.okn2025.0421.</t>
  </si>
  <si>
    <t>Transferencia De Laboratorios Cinfa, S.a. Ctra. Olaz-chipi, 10, Concepto No.f.okn.2024.1328/11.12.2024no.f.okn.2025.0039/21.1.2025no.f.okn.2025.0129./11.2.2025no.f.okn.2025.0310/12</t>
  </si>
  <si>
    <t>13/05/2025</t>
  </si>
  <si>
    <t>Transferencia De Metro Bilbao, S.a., Concepto No.f.okn.2025.0418/11.4.2025.</t>
  </si>
  <si>
    <t>14/05/2025</t>
  </si>
  <si>
    <t>Transferencia De Informa Db Sau, Concepto /fac/f.okn.2025.0528.</t>
  </si>
  <si>
    <t>21/05/2025</t>
  </si>
  <si>
    <t>26/05/2025</t>
  </si>
  <si>
    <t>Transferencia De Serviasv Servicios Compartidos Sl, Concepto Factura Fokn20250296.</t>
  </si>
  <si>
    <t>27/05/2025</t>
  </si>
  <si>
    <t>Transferencia Inmediata De Joyeria Tous S.a., Concepto /inv/f.okn.2025.0467 30.4.2025</t>
  </si>
  <si>
    <t>30/05/2025</t>
  </si>
  <si>
    <t>16/06/2025 | 09:24:20</t>
  </si>
  <si>
    <t>Movimientos Fecha desde 01/05/2025 Fecha Hasta 31/05/2025</t>
  </si>
  <si>
    <t>10.681,91 EUR</t>
  </si>
  <si>
    <t>03/06/2025</t>
  </si>
  <si>
    <t>04/06/2025</t>
  </si>
  <si>
    <t>Transferencia De Iberdrola Financiacion S.a, Concepto Detalle En Carta De Aviso De Pago - Proveedor: 0000111367 Propuesta Dt000 - Fecha 20250606 - Doc.sap: 3600131664-25.</t>
  </si>
  <si>
    <t>06/06/2025</t>
  </si>
  <si>
    <t>07/06/2025</t>
  </si>
  <si>
    <t>09/06/2025</t>
  </si>
  <si>
    <t>Transferencia De Laboratorios Cinfa, S.a. Ctra. Olaz-chipi, 10, Concepto No.f.okn.2025.0384/9.4.2025.</t>
  </si>
  <si>
    <t>11/06/2025</t>
  </si>
  <si>
    <t>Transferencia De Metro Bilbao, S.a., Concepto No.f.okn.2025.0490/9.5.2025.</t>
  </si>
  <si>
    <t>12/06/2025</t>
  </si>
  <si>
    <t>Transferencia De Iseazy Lms Sl, Concepto Traspaso Liquidez A Okn Sch Crédito A Okn Sch Pp.</t>
  </si>
  <si>
    <t>19/06/2025</t>
  </si>
  <si>
    <t>Transferencia A Favor De Iseazy Lms Concepto: Traspaso Liquidez A Okn Bkr A Okn Sch Pp</t>
  </si>
  <si>
    <t>Transferencia De Iberdrola Financiacion S.a, Concepto Detalle En Carta De Aviso De Pago - Proveedor: 0000111367 Propuesta Dt000 - Fecha 20250620 - Doc.sap: 3600137081-25.</t>
  </si>
  <si>
    <t>20/06/2025</t>
  </si>
  <si>
    <t>Transferencia De Informa Db Sau, Concepto /fac/f.okn.2025.0680.</t>
  </si>
  <si>
    <t>23/06/2025</t>
  </si>
  <si>
    <t>Transferencia De Serviasv Servicios Compartidos Sl, Concepto Factura Fokn20250437.</t>
  </si>
  <si>
    <t>26/06/2025</t>
  </si>
  <si>
    <t>Transferencia De Metro Bilbao, S.a., Concepto No.f.okn.2025.0648/9.6.2025.</t>
  </si>
  <si>
    <t>Transferencia A Favor De Iseazy Lms Concepto: Traspaso Liquidez A Okn Cx De Okn Pp</t>
  </si>
  <si>
    <t>Transferencia Inmediata De Joyeria Tous S.a., Concepto /inv/f.okn.2025.0507 12.5.2025</t>
  </si>
  <si>
    <t>30/06/2025</t>
  </si>
  <si>
    <t>03/07/2025 | 17:01:31</t>
  </si>
  <si>
    <t>Movimientos Fecha desde 01/06/2025 Fecha Hasta 30/06/2025</t>
  </si>
  <si>
    <t>8.127,02 EUR</t>
  </si>
  <si>
    <t>18.226,96 EUR</t>
  </si>
  <si>
    <t>Movimientos Fecha desde 01/07/2025 Fecha Hasta 31/07/2025</t>
  </si>
  <si>
    <t>31/07/2025 | 14:55:30</t>
  </si>
  <si>
    <t>30/07/2025</t>
  </si>
  <si>
    <t>Transferencia Inmediata De Joyeria Tous S.a., Concepto /inv/f.okn.2025.0673 10.6.2025</t>
  </si>
  <si>
    <t>29/07/2025</t>
  </si>
  <si>
    <t>Transferencia De Metro Bilbao, S.a., Concepto No.f.okn.2025.0759/7.7.2025.</t>
  </si>
  <si>
    <t>Transferencia De Avintia Proyectos Y Construcciones, S.l., Concepto Scoriseazy Lms,s.l.f.okn.2025.0764.</t>
  </si>
  <si>
    <t>28/07/2025</t>
  </si>
  <si>
    <t>Transferencia De Agesmer, S.l., Concepto Su Fra. Fokn20250525 Agesmer - Zb.</t>
  </si>
  <si>
    <t>Transferencia De Serviasv Servicios Compartidos Sl, Concepto Factura Fokn20250512.</t>
  </si>
  <si>
    <t>Transferencia De Serviasv Servicios Compartidos Sl, Concepto Factura Fokn20250524.</t>
  </si>
  <si>
    <t>Transferencia De Funsureste, S.l., Concepto Factura Fokn20250523.</t>
  </si>
  <si>
    <t>Transferencia De Asv Funeser, S.l.u., Concepto Factura Fokn20250522.</t>
  </si>
  <si>
    <t>23/07/2025</t>
  </si>
  <si>
    <t>Transferencia De Informa Db Sau, Concepto /fac/f.okn.2025.0801.</t>
  </si>
  <si>
    <t>18/07/2025</t>
  </si>
  <si>
    <t>Transferencia De Iberdrola Financiacion S.a, Concepto Detalle En Carta De Aviso De Pago - Proveedor: 0000111367 Propuesta Dt000 - Fecha 20250718 - Doc.sap: 3600169876-25.</t>
  </si>
  <si>
    <t>17/07/2025</t>
  </si>
  <si>
    <t>Traspaso: Traspaso Liquidez A Lms Pp Crédito De Lms Pp Corriente</t>
  </si>
  <si>
    <t>08/07/2025</t>
  </si>
  <si>
    <t>07/07/2025</t>
  </si>
  <si>
    <t>04/07/2025</t>
  </si>
  <si>
    <t>Transferencia De Iberdrola Financiacion S.a, Concepto Detalle En Carta De Aviso De Pago - Proveedor: 0000111367 Propuesta Dt000 - Fecha 20250704 - Doc.sap: 3600160966-25.</t>
  </si>
  <si>
    <t>Transferencia De Iberdrola Financiacion S.a, Concepto Detalle En Carta De Aviso De Pago - Proveedor: 0000111367 Propuesta Dt000 - Fecha 20250801 - Doc.sap: 3600183522-25.</t>
  </si>
  <si>
    <t>01/08/2025</t>
  </si>
  <si>
    <t>07/08/2025</t>
  </si>
  <si>
    <t>Transferencia De Fastlight S.l., .</t>
  </si>
  <si>
    <t>18/08/2025</t>
  </si>
  <si>
    <t>Transferencia De Serviasv Servicios Compartidos Sl, Concepto Factura Fokn20250696.</t>
  </si>
  <si>
    <t>26/08/2025</t>
  </si>
  <si>
    <t>Transferencia Inmediata De Joyeria Tous S.a., Concepto /inv/08243 23.7.2025</t>
  </si>
  <si>
    <t>29/08/2025</t>
  </si>
  <si>
    <t>03/09/2025 | 09:18:46</t>
  </si>
  <si>
    <t>Movimientos Fecha desde 01/08/2025 Fecha Hasta 31/08/2025</t>
  </si>
  <si>
    <t>13.191,14 EUR</t>
  </si>
  <si>
    <t>46.049,88 EUR</t>
  </si>
  <si>
    <t>43.497,61 EUR</t>
  </si>
  <si>
    <t>Movimientos Fecha desde 01/09/2025 Fecha Hasta 30/09/2025</t>
  </si>
  <si>
    <t>30/09/2025 | 09:55:29</t>
  </si>
  <si>
    <t>30/09/2025</t>
  </si>
  <si>
    <t>Transferencia De Metro Bilbao, S.a., Concepto No.f.okn.2025.0987/10.9.2025.</t>
  </si>
  <si>
    <t>26/09/2025</t>
  </si>
  <si>
    <t>Transferencia De Iberdrola Financiacion S.a, Concepto Detalle En Carta De Aviso De Pago - Proveedor: 0000111367 Propuesta Dt000 - Fecha 20250926 - Doc.sap: 3600211263-25.</t>
  </si>
  <si>
    <t>Transferencia De Serviasv Servicios Compartidos Sl, Concepto Factura Fokn20250794.</t>
  </si>
  <si>
    <t>24/09/2025</t>
  </si>
  <si>
    <t>Transferencia De Informa Db Sau, Concepto /fac/f.okn.2025.0907/fac/f.okn.2025.1010.</t>
  </si>
  <si>
    <t>23/09/2025</t>
  </si>
  <si>
    <t>Transferencia De Laboratorios Cinfa, S.a. Ctra. Olaz-chipi, 10, Concepto No.f.okn.2025.0681/12.6.2025no.f.okn.2025.0802/9.7.2025.</t>
  </si>
  <si>
    <t>12/09/2025</t>
  </si>
  <si>
    <t>Transferencia De Metro Bilbao, S.a., Concepto No.f.okn.2025.0805/11.7.2025no.f.okn.2025.0938/18.8.2025.</t>
  </si>
  <si>
    <t>09/09/2025</t>
  </si>
  <si>
    <t>07/09/2025</t>
  </si>
  <si>
    <t>08/09/2025</t>
  </si>
  <si>
    <t>Transferencia De Iberdrola Financiacion S.a, Concepto Detalle En Carta De Aviso De Pago - Proveedor: 0000111367 Propuesta Dt000 - Fecha 20250908 - Doc.sap: 3600204915-25.</t>
  </si>
  <si>
    <t>05/09/2025</t>
  </si>
  <si>
    <t>Transferencia De Iberdrola Financiacion S.a, Concepto Detalle En Carta De Aviso De Pago - Proveedor: 0000111367 Propuesta Dt000 - Fecha 20250905 - Doc.sap: 3600204372-25.</t>
  </si>
  <si>
    <t>04/09/2025</t>
  </si>
  <si>
    <t>03/09/2025</t>
  </si>
  <si>
    <t>24.015,09 EUR</t>
  </si>
  <si>
    <t>21.462,82 EUR</t>
  </si>
  <si>
    <t>Movimientos Fecha desde 01/10/2025 Fecha Hasta 31/10/2025</t>
  </si>
  <si>
    <t>13/11/2025 | 10:42:32</t>
  </si>
  <si>
    <t>30/10/2025</t>
  </si>
  <si>
    <t>Transferencia Inmediata De Joyeria Tous S.a., Concepto /inv/f.okn.2025.1016 10.9.2025</t>
  </si>
  <si>
    <t>29/10/2025</t>
  </si>
  <si>
    <t>Transferencia De Fremap Mutua Colaboradora Con La Seguridad Social, Concepto Pago Fra. 329 F.okn.2025..</t>
  </si>
  <si>
    <t>28/10/2025</t>
  </si>
  <si>
    <t>Transferencia Inmediata A Favor De Iseazy Lms Concepto Traspaso Liquidez A Okn Bka Crédito Por Okn Pp</t>
  </si>
  <si>
    <t>Transferencia De Serviasv Servicios Compartidos Sl, Concepto Factura Fokn20250923.</t>
  </si>
  <si>
    <t>27/10/2025</t>
  </si>
  <si>
    <t>Transferencia A Favor De Iseazy Lms Concepto: Traspaso A Okn Ib De Okn Pp</t>
  </si>
  <si>
    <t>Transferencia De Iseazy Lms Sl, Concepto Traspaso Liquidez A Okn Pp De Okn Okn Sch.</t>
  </si>
  <si>
    <t>Transferencia De Iseazy Lms Sl, Concepto Traspaso Liquidez A Okn Pp De Okn Okn Sch Crédito.</t>
  </si>
  <si>
    <t>21/10/2025</t>
  </si>
  <si>
    <t>Transferencia De Informa Db Sau, Concepto /fac/f.okn.2025.1185.</t>
  </si>
  <si>
    <t>13/10/2025</t>
  </si>
  <si>
    <t>Transferencia De Laboratorios Cinfa, S.a. Ctra. Olaz-chipi, 10, Concepto No.f.okn.2025.0908/13.8.2025.</t>
  </si>
  <si>
    <t>08/10/2025</t>
  </si>
  <si>
    <t>Transferencia A Favor De Iseazy Lms Concepto: Traspaso Liquidez A Lms Bkr De Lms De Pp</t>
  </si>
  <si>
    <t>07/10/2025</t>
  </si>
  <si>
    <t>Transferencia De Iberdrola Financiacion S.a, Concepto Detalle En Carta De Aviso De Pago - Proveedor: 0000111367 Propuesta Dt000 - Fecha 20251007 - Doc.sap: 3600233105-25.</t>
  </si>
  <si>
    <t>06/10/2025</t>
  </si>
  <si>
    <t>Traspaso: Pago Servicios Corporativos A Bpo Sch De Lms Pp</t>
  </si>
  <si>
    <t>174</t>
  </si>
  <si>
    <t>Recibo Santander Vida Poliza:302401098553-000000-euroriesgo Nº Recibo 0049 1837 755 Bbkfzxk Ref. Mandato 68754885100, De</t>
  </si>
  <si>
    <t>04/11/2025</t>
  </si>
  <si>
    <t>07/11/2025</t>
  </si>
  <si>
    <t>Transferencia De Iberdrola Financiacion S.a, Concepto Detalle En Carta De Aviso De Pago - Proveedor: 0000111367 Propuesta Dt000 - Fecha 20251110 - Doc.sap: 3600259381-25.</t>
  </si>
  <si>
    <t>10/11/2025</t>
  </si>
  <si>
    <t>Transferencia De Laboratorios Cinfa, S.a. Ctra. Olaz-chipi, 10, Concepto No.f.okn.2025.1011/10.9.2025.</t>
  </si>
  <si>
    <t>11/11/2025</t>
  </si>
  <si>
    <t>Transferencia De Metro Bilbao, S.a., Concepto No.f.okn.2025.1180/15.10.2025.</t>
  </si>
  <si>
    <t>13/11/2025</t>
  </si>
  <si>
    <t>Transferencia De Iseazy Lms Sl, Concepto Traspaso Liquidez A Okn Sch Crédito A Okn Pp.</t>
  </si>
  <si>
    <t>17/11/2025</t>
  </si>
  <si>
    <t>Transferencia A Favor De Iseazy Lms Concepto: Traspaso Liquidez A Lms Bkr De Lms Pp</t>
  </si>
  <si>
    <t>Transferencia De Informa Db Sau, Concepto /fac/f.okn.2025.1285.</t>
  </si>
  <si>
    <t>21/11/2025</t>
  </si>
  <si>
    <t>Transferencia De Serviasv Servicios Compartidos Sl, Concepto Factura Fokn20251025.</t>
  </si>
  <si>
    <t>26/11/2025</t>
  </si>
  <si>
    <t>Transferencia Inmediata De Joyeria Tous S.a., Concepto /inv/08243 13.10.2025</t>
  </si>
  <si>
    <t>28/11/2025</t>
  </si>
  <si>
    <t>04/12/2025 | 09:47:14</t>
  </si>
  <si>
    <t>Movimientos Fecha desde 01/11/2025 Fecha Hasta 30/11/2025</t>
  </si>
  <si>
    <t>17.341,14 EUR</t>
  </si>
  <si>
    <t>17.251,14 EUR</t>
  </si>
  <si>
    <t>Transferencia De Iberdrola Financiacion S.a, Concepto Detalle En Carta De Aviso De Pago - Proveedor: 0000111367 Propuesta Dt000 - Fecha 20251202 - Doc.sap: 3600277177-25.</t>
  </si>
  <si>
    <t>02/12/2025</t>
  </si>
  <si>
    <t>03/12/2025</t>
  </si>
  <si>
    <t>04/12/2025</t>
  </si>
  <si>
    <t>Transferencia De Iberdrola Clientes Portugal,uni.lda, Concepto Detalle En Carta De Aviso De Pago -proveedor: 0000111367 Propuesta Pe700 - Fecha 20251205 - Doc.sap: 3600011389-25.</t>
  </si>
  <si>
    <t>08/12/2025</t>
  </si>
  <si>
    <t>09/12/2025</t>
  </si>
  <si>
    <t>07/12/2025</t>
  </si>
  <si>
    <t>10/12/2025</t>
  </si>
  <si>
    <t>Transferencia A Favor De Iseazy Lms Concepto: Traspaso Liquidez A Okn Bkr De Okn Sch</t>
  </si>
  <si>
    <t>Transferencia De Metro Bilbao, S.a., Concepto No.f.okn.2025.1271/11.11.2025.</t>
  </si>
  <si>
    <t>11/12/2025</t>
  </si>
  <si>
    <t>Transferencia Inmediata A Favor De Iseazy Lms Concepto Traspaso Liquidez A Okn Cx De Okn Sch</t>
  </si>
  <si>
    <t>Transferencia De Informa Db Sau, Concepto /fac/f.okn.2025.1434.</t>
  </si>
  <si>
    <t>23/12/2025</t>
  </si>
  <si>
    <t>Transferencia De Serviasv Servicios Compartidos Sl, Concepto Factura Fokn20251153.</t>
  </si>
  <si>
    <t>29/12/2025</t>
  </si>
  <si>
    <t>26/12/2025</t>
  </si>
  <si>
    <t>Transferencia De Iberdrola Financiacion S.a, Concepto Detalle En Carta De Aviso De Pago - Proveedor: 0000111367 Propuesta Dt000 - Fecha 20251229 - Doc.sap: 3600294409-25.</t>
  </si>
  <si>
    <t>Transferencia Inmediata De Joyeria Tous S.a., Concepto /inv/f.okn.2025.1313 14.11.2025</t>
  </si>
  <si>
    <t>30/12/2025</t>
  </si>
  <si>
    <t>12/01/2026 | 12:46:36</t>
  </si>
  <si>
    <t>Movimientos Fecha desde 01/12/2025 Fecha Hasta 31/12/2025</t>
  </si>
  <si>
    <t>12.294,88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</si>
</sst>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4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B3ECD6B-92D9-4A65-9E63-9B05B1B4C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5569A07-FA2B-4F52-B65F-5DB0635C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EA27B9F-DC5A-46C0-AE5E-3AD212392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34D33CD-9205-49A8-B328-CC167C013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F2E22DB-3F01-4511-8694-6BF7CA01C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E5771F7-6160-4AD5-8805-75808A837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E5449D9-B2E6-441A-B8A7-8E3E3D241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0C8EF6B-8D89-4D20-88CB-E27644C61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E047FD4F-F610-414E-8D17-072EBF6F5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21940D80-A65F-41FA-AEAA-B303F2431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C238-8EBE-4E40-AD58-8C6ED8B558B3}">
  <dimension ref="A1:L28"/>
  <sheetViews>
    <sheetView topLeftCell="A4" workbookViewId="0">
      <selection activeCell="I9" sqref="I9:K28"/>
    </sheetView>
  </sheetViews>
  <sheetFormatPr baseColWidth="10" defaultColWidth="8.88671875" defaultRowHeight="14.4" x14ac:dyDescent="0.3"/>
  <cols>
    <col min="1" max="2" width="10.5546875" customWidth="1"/>
    <col min="3" max="3" width="70.332031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25.2187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64</v>
      </c>
      <c r="E3" s="3" t="s">
        <v>64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4</v>
      </c>
      <c r="D5" s="2" t="s">
        <v>5</v>
      </c>
      <c r="E5" s="2" t="s">
        <v>6</v>
      </c>
    </row>
    <row r="6" spans="1:12" ht="15" customHeight="1" x14ac:dyDescent="0.3">
      <c r="C6" s="3" t="s">
        <v>7</v>
      </c>
      <c r="D6" s="3" t="s">
        <v>8</v>
      </c>
      <c r="E6" s="3" t="s">
        <v>64</v>
      </c>
    </row>
    <row r="7" spans="1:12" ht="13.95" customHeight="1" x14ac:dyDescent="0.3">
      <c r="A7" s="18" t="s">
        <v>63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62</v>
      </c>
    </row>
    <row r="8" spans="1:12" ht="19.05" customHeight="1" x14ac:dyDescent="0.3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19</v>
      </c>
    </row>
    <row r="9" spans="1:12" ht="22.95" customHeight="1" x14ac:dyDescent="0.3">
      <c r="A9" s="4" t="s">
        <v>20</v>
      </c>
      <c r="B9" s="4" t="s">
        <v>20</v>
      </c>
      <c r="C9" s="3" t="s">
        <v>21</v>
      </c>
      <c r="D9" s="6">
        <v>1527.95</v>
      </c>
      <c r="E9" s="3" t="s">
        <v>22</v>
      </c>
      <c r="F9" s="1">
        <v>7379.15</v>
      </c>
      <c r="G9" s="3" t="s">
        <v>22</v>
      </c>
      <c r="H9" s="3" t="s">
        <v>23</v>
      </c>
      <c r="I9" s="3"/>
    </row>
    <row r="10" spans="1:12" ht="22.95" customHeight="1" x14ac:dyDescent="0.3">
      <c r="A10" s="4" t="s">
        <v>25</v>
      </c>
      <c r="B10" s="4" t="s">
        <v>25</v>
      </c>
      <c r="C10" s="3" t="s">
        <v>26</v>
      </c>
      <c r="D10" s="6">
        <v>2467.19</v>
      </c>
      <c r="E10" s="3" t="s">
        <v>22</v>
      </c>
      <c r="F10" s="1">
        <v>5851.2</v>
      </c>
      <c r="G10" s="3" t="s">
        <v>22</v>
      </c>
      <c r="H10" s="3" t="s">
        <v>23</v>
      </c>
      <c r="I10" s="3"/>
    </row>
    <row r="11" spans="1:12" ht="22.95" customHeight="1" x14ac:dyDescent="0.3">
      <c r="A11" s="4" t="s">
        <v>27</v>
      </c>
      <c r="B11" s="4" t="s">
        <v>27</v>
      </c>
      <c r="C11" s="3" t="s">
        <v>28</v>
      </c>
      <c r="D11" s="6">
        <v>-40000</v>
      </c>
      <c r="E11" s="3" t="s">
        <v>22</v>
      </c>
      <c r="F11" s="1">
        <v>3384.01</v>
      </c>
      <c r="G11" s="3" t="s">
        <v>22</v>
      </c>
      <c r="H11" s="3" t="s">
        <v>29</v>
      </c>
      <c r="I11" s="3"/>
    </row>
    <row r="12" spans="1:12" ht="22.95" customHeight="1" x14ac:dyDescent="0.3">
      <c r="A12" s="4" t="s">
        <v>30</v>
      </c>
      <c r="B12" s="4" t="s">
        <v>30</v>
      </c>
      <c r="C12" s="3" t="s">
        <v>31</v>
      </c>
      <c r="D12" s="6">
        <v>27104</v>
      </c>
      <c r="E12" s="3" t="s">
        <v>22</v>
      </c>
      <c r="F12" s="1">
        <v>43384.01</v>
      </c>
      <c r="G12" s="3" t="s">
        <v>22</v>
      </c>
      <c r="H12" s="3" t="s">
        <v>23</v>
      </c>
      <c r="I12" s="3"/>
    </row>
    <row r="13" spans="1:12" ht="22.95" customHeight="1" x14ac:dyDescent="0.3">
      <c r="A13" s="4" t="s">
        <v>30</v>
      </c>
      <c r="B13" s="4" t="s">
        <v>30</v>
      </c>
      <c r="C13" s="3" t="s">
        <v>32</v>
      </c>
      <c r="D13" s="6">
        <v>1815</v>
      </c>
      <c r="E13" s="3" t="s">
        <v>22</v>
      </c>
      <c r="F13" s="1">
        <v>16280.01</v>
      </c>
      <c r="G13" s="3" t="s">
        <v>22</v>
      </c>
      <c r="H13" s="3" t="s">
        <v>23</v>
      </c>
      <c r="I13" s="3"/>
    </row>
    <row r="14" spans="1:12" ht="22.95" customHeight="1" x14ac:dyDescent="0.3">
      <c r="A14" s="4" t="s">
        <v>33</v>
      </c>
      <c r="B14" s="4" t="s">
        <v>33</v>
      </c>
      <c r="C14" s="3" t="s">
        <v>34</v>
      </c>
      <c r="D14" s="6">
        <v>3521.28</v>
      </c>
      <c r="E14" s="3" t="s">
        <v>22</v>
      </c>
      <c r="F14" s="1">
        <v>14465.01</v>
      </c>
      <c r="G14" s="3" t="s">
        <v>22</v>
      </c>
      <c r="H14" s="3" t="s">
        <v>23</v>
      </c>
      <c r="I14" s="3"/>
    </row>
    <row r="15" spans="1:12" ht="22.95" customHeight="1" x14ac:dyDescent="0.3">
      <c r="A15" s="4" t="s">
        <v>35</v>
      </c>
      <c r="B15" s="4" t="s">
        <v>35</v>
      </c>
      <c r="C15" s="3" t="s">
        <v>36</v>
      </c>
      <c r="D15" s="6">
        <v>-5476.98</v>
      </c>
      <c r="E15" s="3" t="s">
        <v>22</v>
      </c>
      <c r="F15" s="1">
        <v>10943.73</v>
      </c>
      <c r="G15" s="3" t="s">
        <v>22</v>
      </c>
      <c r="H15" s="3" t="s">
        <v>29</v>
      </c>
      <c r="I15" s="3"/>
    </row>
    <row r="16" spans="1:12" ht="22.95" customHeight="1" x14ac:dyDescent="0.3">
      <c r="A16" s="4" t="s">
        <v>37</v>
      </c>
      <c r="B16" s="4" t="s">
        <v>37</v>
      </c>
      <c r="C16" s="3" t="s">
        <v>38</v>
      </c>
      <c r="D16" s="6">
        <v>2552.27</v>
      </c>
      <c r="E16" s="3" t="s">
        <v>22</v>
      </c>
      <c r="F16" s="1">
        <v>16420.71</v>
      </c>
      <c r="G16" s="3" t="s">
        <v>22</v>
      </c>
      <c r="H16" s="3" t="s">
        <v>23</v>
      </c>
      <c r="I16" s="3"/>
    </row>
    <row r="17" spans="1:9" ht="22.95" customHeight="1" x14ac:dyDescent="0.3">
      <c r="A17" s="4" t="s">
        <v>39</v>
      </c>
      <c r="B17" s="4" t="s">
        <v>39</v>
      </c>
      <c r="C17" s="3" t="s">
        <v>40</v>
      </c>
      <c r="D17" s="6">
        <v>-4467.12</v>
      </c>
      <c r="E17" s="3" t="s">
        <v>22</v>
      </c>
      <c r="F17" s="1">
        <v>13868.44</v>
      </c>
      <c r="G17" s="3" t="s">
        <v>22</v>
      </c>
      <c r="H17" s="3" t="s">
        <v>41</v>
      </c>
      <c r="I17" s="3"/>
    </row>
    <row r="18" spans="1:9" ht="22.95" customHeight="1" x14ac:dyDescent="0.3">
      <c r="A18" s="4" t="s">
        <v>61</v>
      </c>
      <c r="B18" s="4" t="s">
        <v>61</v>
      </c>
      <c r="C18" s="3" t="s">
        <v>60</v>
      </c>
      <c r="D18" s="6">
        <v>10718.2</v>
      </c>
      <c r="E18" s="3" t="s">
        <v>22</v>
      </c>
      <c r="F18" s="1">
        <v>18335.560000000001</v>
      </c>
      <c r="G18" s="3" t="s">
        <v>22</v>
      </c>
      <c r="H18" s="3" t="s">
        <v>23</v>
      </c>
      <c r="I18" s="3"/>
    </row>
    <row r="19" spans="1:9" ht="22.95" customHeight="1" x14ac:dyDescent="0.3">
      <c r="A19" s="4" t="s">
        <v>59</v>
      </c>
      <c r="B19" s="4" t="s">
        <v>59</v>
      </c>
      <c r="C19" s="3" t="s">
        <v>58</v>
      </c>
      <c r="D19" s="6">
        <v>3446.76</v>
      </c>
      <c r="E19" s="3" t="s">
        <v>22</v>
      </c>
      <c r="F19" s="1">
        <v>7617.36</v>
      </c>
      <c r="G19" s="3" t="s">
        <v>22</v>
      </c>
      <c r="H19" s="3" t="s">
        <v>23</v>
      </c>
      <c r="I19" s="3"/>
    </row>
    <row r="20" spans="1:9" ht="22.95" customHeight="1" x14ac:dyDescent="0.3">
      <c r="A20" s="4" t="s">
        <v>57</v>
      </c>
      <c r="B20" s="4" t="s">
        <v>57</v>
      </c>
      <c r="C20" s="3" t="s">
        <v>56</v>
      </c>
      <c r="D20" s="6">
        <v>2467.19</v>
      </c>
      <c r="E20" s="3" t="s">
        <v>22</v>
      </c>
      <c r="F20" s="1">
        <v>4170.6000000000004</v>
      </c>
      <c r="G20" s="3" t="s">
        <v>22</v>
      </c>
      <c r="H20" s="3" t="s">
        <v>23</v>
      </c>
      <c r="I20" s="3"/>
    </row>
    <row r="21" spans="1:9" ht="22.95" customHeight="1" x14ac:dyDescent="0.3">
      <c r="A21" s="4" t="s">
        <v>55</v>
      </c>
      <c r="B21" s="4" t="s">
        <v>55</v>
      </c>
      <c r="C21" s="3" t="s">
        <v>28</v>
      </c>
      <c r="D21" s="6">
        <v>-20000</v>
      </c>
      <c r="E21" s="3" t="s">
        <v>22</v>
      </c>
      <c r="F21" s="1">
        <v>1703.41</v>
      </c>
      <c r="G21" s="3" t="s">
        <v>22</v>
      </c>
      <c r="H21" s="3" t="s">
        <v>29</v>
      </c>
      <c r="I21" s="3"/>
    </row>
    <row r="22" spans="1:9" ht="22.95" customHeight="1" x14ac:dyDescent="0.3">
      <c r="A22" s="4" t="s">
        <v>54</v>
      </c>
      <c r="B22" s="4" t="s">
        <v>54</v>
      </c>
      <c r="C22" s="3" t="s">
        <v>53</v>
      </c>
      <c r="D22" s="6">
        <v>-1000</v>
      </c>
      <c r="E22" s="3" t="s">
        <v>22</v>
      </c>
      <c r="F22" s="1">
        <v>21703.41</v>
      </c>
      <c r="G22" s="3" t="s">
        <v>22</v>
      </c>
      <c r="H22" s="3" t="s">
        <v>29</v>
      </c>
      <c r="I22" s="3"/>
    </row>
    <row r="23" spans="1:9" ht="22.95" customHeight="1" x14ac:dyDescent="0.3">
      <c r="A23" s="4" t="s">
        <v>52</v>
      </c>
      <c r="B23" s="4" t="s">
        <v>52</v>
      </c>
      <c r="C23" s="3" t="s">
        <v>51</v>
      </c>
      <c r="D23" s="6">
        <v>2514.5500000000002</v>
      </c>
      <c r="E23" s="3" t="s">
        <v>22</v>
      </c>
      <c r="F23" s="1">
        <v>22703.41</v>
      </c>
      <c r="G23" s="3" t="s">
        <v>22</v>
      </c>
      <c r="H23" s="3" t="s">
        <v>23</v>
      </c>
      <c r="I23" s="3"/>
    </row>
    <row r="24" spans="1:9" ht="22.95" customHeight="1" x14ac:dyDescent="0.3">
      <c r="A24" s="4" t="s">
        <v>50</v>
      </c>
      <c r="B24" s="4" t="s">
        <v>50</v>
      </c>
      <c r="C24" s="3" t="s">
        <v>49</v>
      </c>
      <c r="D24" s="6">
        <v>1403.9</v>
      </c>
      <c r="E24" s="3" t="s">
        <v>22</v>
      </c>
      <c r="F24" s="1">
        <v>20188.86</v>
      </c>
      <c r="G24" s="3" t="s">
        <v>22</v>
      </c>
      <c r="H24" s="3" t="s">
        <v>23</v>
      </c>
      <c r="I24" s="3"/>
    </row>
    <row r="25" spans="1:9" ht="22.95" customHeight="1" x14ac:dyDescent="0.3">
      <c r="A25" s="4" t="s">
        <v>47</v>
      </c>
      <c r="B25" s="4" t="s">
        <v>47</v>
      </c>
      <c r="C25" s="3" t="s">
        <v>48</v>
      </c>
      <c r="D25" s="6">
        <v>-27.54</v>
      </c>
      <c r="E25" s="3" t="s">
        <v>22</v>
      </c>
      <c r="F25" s="1">
        <v>18784.96</v>
      </c>
      <c r="G25" s="3" t="s">
        <v>22</v>
      </c>
      <c r="H25" s="3" t="s">
        <v>29</v>
      </c>
      <c r="I25" s="3"/>
    </row>
    <row r="26" spans="1:9" ht="22.95" customHeight="1" x14ac:dyDescent="0.3">
      <c r="A26" s="4" t="s">
        <v>47</v>
      </c>
      <c r="B26" s="4" t="s">
        <v>47</v>
      </c>
      <c r="C26" s="3" t="s">
        <v>46</v>
      </c>
      <c r="D26" s="6">
        <v>-9180</v>
      </c>
      <c r="E26" s="3" t="s">
        <v>22</v>
      </c>
      <c r="F26" s="1">
        <v>18812.5</v>
      </c>
      <c r="G26" s="3" t="s">
        <v>22</v>
      </c>
      <c r="H26" s="3" t="s">
        <v>29</v>
      </c>
      <c r="I26" s="3"/>
    </row>
    <row r="27" spans="1:9" ht="22.95" customHeight="1" x14ac:dyDescent="0.3">
      <c r="A27" s="4" t="s">
        <v>45</v>
      </c>
      <c r="B27" s="4" t="s">
        <v>44</v>
      </c>
      <c r="C27" s="3" t="s">
        <v>40</v>
      </c>
      <c r="D27" s="6">
        <v>-4467.12</v>
      </c>
      <c r="E27" s="3" t="s">
        <v>22</v>
      </c>
      <c r="F27" s="1">
        <v>27992.5</v>
      </c>
      <c r="G27" s="3" t="s">
        <v>22</v>
      </c>
      <c r="H27" s="3" t="s">
        <v>41</v>
      </c>
      <c r="I27" s="3"/>
    </row>
    <row r="28" spans="1:9" ht="22.95" customHeight="1" x14ac:dyDescent="0.3">
      <c r="A28" s="4" t="s">
        <v>43</v>
      </c>
      <c r="B28" s="4" t="s">
        <v>43</v>
      </c>
      <c r="C28" s="3" t="s">
        <v>42</v>
      </c>
      <c r="D28" s="6">
        <v>9719.32</v>
      </c>
      <c r="E28" s="3" t="s">
        <v>22</v>
      </c>
      <c r="F28" s="1">
        <v>32459.62</v>
      </c>
      <c r="G28" s="3" t="s">
        <v>22</v>
      </c>
      <c r="H28" s="3" t="s">
        <v>23</v>
      </c>
      <c r="I28" s="3"/>
    </row>
  </sheetData>
  <autoFilter ref="A8:L28" xr:uid="{40A8C238-8EBE-4E40-AD58-8C6ED8B558B3}"/>
  <mergeCells count="3">
    <mergeCell ref="A1:B5"/>
    <mergeCell ref="A7:C7"/>
    <mergeCell ref="D7:J7"/>
  </mergeCells>
  <conditionalFormatting sqref="D9:D28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A080-6237-49A5-92C0-8A9B5702F702}">
  <dimension ref="A1:L18"/>
  <sheetViews>
    <sheetView workbookViewId="0">
      <selection activeCell="I9" sqref="I9:O16"/>
    </sheetView>
  </sheetViews>
  <sheetFormatPr baseColWidth="10" defaultColWidth="8.88671875" defaultRowHeight="14.4" x14ac:dyDescent="0.3"/>
  <cols>
    <col min="1" max="2" width="10.5546875" customWidth="1"/>
    <col min="3" max="3" width="60.66406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82</v>
      </c>
      <c r="E3" s="3" t="s">
        <v>82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4</v>
      </c>
      <c r="D5" s="2" t="s">
        <v>5</v>
      </c>
      <c r="E5" s="2" t="s">
        <v>6</v>
      </c>
    </row>
    <row r="6" spans="1:12" ht="15" customHeight="1" x14ac:dyDescent="0.3">
      <c r="C6" s="3" t="s">
        <v>7</v>
      </c>
      <c r="D6" s="3" t="s">
        <v>8</v>
      </c>
      <c r="E6" s="3" t="s">
        <v>82</v>
      </c>
    </row>
    <row r="7" spans="1:12" ht="13.95" customHeight="1" x14ac:dyDescent="0.3">
      <c r="A7" s="18" t="s">
        <v>81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80</v>
      </c>
    </row>
    <row r="8" spans="1:12" ht="19.05" customHeight="1" x14ac:dyDescent="0.3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19</v>
      </c>
    </row>
    <row r="9" spans="1:12" ht="22.95" customHeight="1" x14ac:dyDescent="0.3">
      <c r="A9" s="4" t="s">
        <v>78</v>
      </c>
      <c r="B9" s="4" t="s">
        <v>78</v>
      </c>
      <c r="C9" s="3" t="s">
        <v>79</v>
      </c>
      <c r="D9" s="6">
        <v>3446.76</v>
      </c>
      <c r="E9" s="3" t="s">
        <v>22</v>
      </c>
      <c r="F9" s="1">
        <v>28812.83</v>
      </c>
      <c r="G9" s="3" t="s">
        <v>22</v>
      </c>
      <c r="H9" s="3" t="s">
        <v>23</v>
      </c>
      <c r="I9" s="3"/>
      <c r="J9" s="3" t="s">
        <v>24</v>
      </c>
      <c r="K9" s="3" t="s">
        <v>24</v>
      </c>
      <c r="L9" s="3"/>
    </row>
    <row r="10" spans="1:12" ht="22.95" customHeight="1" x14ac:dyDescent="0.3">
      <c r="A10" s="4" t="s">
        <v>78</v>
      </c>
      <c r="B10" s="4" t="s">
        <v>78</v>
      </c>
      <c r="C10" s="3" t="s">
        <v>77</v>
      </c>
      <c r="D10" s="6">
        <v>18543.27</v>
      </c>
      <c r="E10" s="3" t="s">
        <v>22</v>
      </c>
      <c r="F10" s="1">
        <v>25366.07</v>
      </c>
      <c r="G10" s="3" t="s">
        <v>22</v>
      </c>
      <c r="H10" s="3" t="s">
        <v>23</v>
      </c>
      <c r="I10" s="3"/>
      <c r="J10" s="3" t="s">
        <v>24</v>
      </c>
      <c r="K10" s="3" t="s">
        <v>24</v>
      </c>
      <c r="L10" s="3"/>
    </row>
    <row r="11" spans="1:12" ht="22.95" customHeight="1" x14ac:dyDescent="0.3">
      <c r="A11" s="4" t="s">
        <v>74</v>
      </c>
      <c r="B11" s="4" t="s">
        <v>74</v>
      </c>
      <c r="C11" s="3" t="s">
        <v>28</v>
      </c>
      <c r="D11" s="6">
        <v>-24000</v>
      </c>
      <c r="E11" s="3" t="s">
        <v>22</v>
      </c>
      <c r="F11" s="1">
        <v>6822.8</v>
      </c>
      <c r="G11" s="3" t="s">
        <v>22</v>
      </c>
      <c r="H11" s="3" t="s">
        <v>29</v>
      </c>
    </row>
    <row r="12" spans="1:12" ht="22.95" customHeight="1" x14ac:dyDescent="0.3">
      <c r="A12" s="4" t="s">
        <v>74</v>
      </c>
      <c r="B12" s="4" t="s">
        <v>74</v>
      </c>
      <c r="C12" s="3" t="s">
        <v>76</v>
      </c>
      <c r="D12" s="6">
        <v>14000</v>
      </c>
      <c r="E12" s="3" t="s">
        <v>22</v>
      </c>
      <c r="F12" s="1">
        <v>30822.799999999999</v>
      </c>
      <c r="G12" s="3" t="s">
        <v>22</v>
      </c>
      <c r="H12" s="3" t="s">
        <v>23</v>
      </c>
    </row>
    <row r="13" spans="1:12" ht="22.95" customHeight="1" x14ac:dyDescent="0.3">
      <c r="A13" s="4" t="s">
        <v>74</v>
      </c>
      <c r="B13" s="4" t="s">
        <v>74</v>
      </c>
      <c r="C13" s="3" t="s">
        <v>75</v>
      </c>
      <c r="D13" s="6">
        <v>8000</v>
      </c>
      <c r="E13" s="3" t="s">
        <v>22</v>
      </c>
      <c r="F13" s="1">
        <v>16822.8</v>
      </c>
      <c r="G13" s="3" t="s">
        <v>22</v>
      </c>
      <c r="H13" s="3" t="s">
        <v>23</v>
      </c>
    </row>
    <row r="14" spans="1:12" ht="22.95" customHeight="1" x14ac:dyDescent="0.3">
      <c r="A14" s="4" t="s">
        <v>74</v>
      </c>
      <c r="B14" s="4" t="s">
        <v>74</v>
      </c>
      <c r="C14" s="3" t="s">
        <v>73</v>
      </c>
      <c r="D14" s="6">
        <v>2541</v>
      </c>
      <c r="E14" s="3" t="s">
        <v>22</v>
      </c>
      <c r="F14" s="1">
        <v>8822.7999999999993</v>
      </c>
      <c r="G14" s="3" t="s">
        <v>22</v>
      </c>
      <c r="H14" s="3" t="s">
        <v>23</v>
      </c>
    </row>
    <row r="15" spans="1:12" ht="22.95" customHeight="1" x14ac:dyDescent="0.3">
      <c r="A15" s="4" t="s">
        <v>72</v>
      </c>
      <c r="B15" s="4" t="s">
        <v>72</v>
      </c>
      <c r="C15" s="3" t="s">
        <v>71</v>
      </c>
      <c r="D15" s="6">
        <v>907.5</v>
      </c>
      <c r="E15" s="3" t="s">
        <v>22</v>
      </c>
      <c r="F15" s="1">
        <v>6281.8</v>
      </c>
      <c r="G15" s="3" t="s">
        <v>22</v>
      </c>
      <c r="H15" s="3" t="s">
        <v>23</v>
      </c>
    </row>
    <row r="16" spans="1:12" ht="22.95" customHeight="1" x14ac:dyDescent="0.3">
      <c r="A16" s="4" t="s">
        <v>70</v>
      </c>
      <c r="B16" s="4" t="s">
        <v>70</v>
      </c>
      <c r="C16" s="3" t="s">
        <v>69</v>
      </c>
      <c r="D16" s="6">
        <v>2552.27</v>
      </c>
      <c r="E16" s="3" t="s">
        <v>22</v>
      </c>
      <c r="F16" s="1">
        <v>5374.3</v>
      </c>
      <c r="G16" s="3" t="s">
        <v>22</v>
      </c>
      <c r="H16" s="3" t="s">
        <v>23</v>
      </c>
    </row>
    <row r="17" spans="1:8" ht="22.95" customHeight="1" x14ac:dyDescent="0.3">
      <c r="A17" s="4" t="s">
        <v>68</v>
      </c>
      <c r="B17" s="4" t="s">
        <v>68</v>
      </c>
      <c r="C17" s="3" t="s">
        <v>40</v>
      </c>
      <c r="D17" s="6">
        <v>-4467.12</v>
      </c>
      <c r="E17" s="3" t="s">
        <v>22</v>
      </c>
      <c r="F17" s="1">
        <v>2822.03</v>
      </c>
      <c r="G17" s="3" t="s">
        <v>22</v>
      </c>
      <c r="H17" s="3" t="s">
        <v>41</v>
      </c>
    </row>
    <row r="18" spans="1:8" ht="22.95" customHeight="1" x14ac:dyDescent="0.3">
      <c r="A18" s="4" t="s">
        <v>67</v>
      </c>
      <c r="B18" s="4" t="s">
        <v>66</v>
      </c>
      <c r="C18" s="3" t="s">
        <v>65</v>
      </c>
      <c r="D18" s="6">
        <v>-90</v>
      </c>
      <c r="E18" s="3" t="s">
        <v>22</v>
      </c>
      <c r="F18" s="1">
        <v>7289.15</v>
      </c>
      <c r="G18" s="3" t="s">
        <v>22</v>
      </c>
      <c r="H18" s="3" t="s">
        <v>41</v>
      </c>
    </row>
  </sheetData>
  <mergeCells count="3">
    <mergeCell ref="A1:B5"/>
    <mergeCell ref="A7:C7"/>
    <mergeCell ref="D7:J7"/>
  </mergeCells>
  <conditionalFormatting sqref="D9:D18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AD98-9D7A-4B5E-839C-7D289D515C77}">
  <dimension ref="A1:L17"/>
  <sheetViews>
    <sheetView workbookViewId="0">
      <selection activeCell="I2" sqref="I2:I16"/>
    </sheetView>
  </sheetViews>
  <sheetFormatPr baseColWidth="10" defaultColWidth="8.88671875" defaultRowHeight="14.4" x14ac:dyDescent="0.3"/>
  <cols>
    <col min="1" max="2" width="10.5546875" customWidth="1"/>
    <col min="3" max="3" width="66.332031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31.88671875" bestFit="1" customWidth="1"/>
    <col min="10" max="10" width="15" customWidth="1"/>
    <col min="11" max="12" width="17.21875" customWidth="1"/>
  </cols>
  <sheetData>
    <row r="1" spans="1:12" ht="19.05" customHeight="1" x14ac:dyDescent="0.3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13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</row>
    <row r="2" spans="1:12" ht="22.95" customHeight="1" x14ac:dyDescent="0.3">
      <c r="A2" s="4" t="s">
        <v>109</v>
      </c>
      <c r="B2" s="4" t="s">
        <v>109</v>
      </c>
      <c r="C2" s="3" t="s">
        <v>110</v>
      </c>
      <c r="D2" s="6">
        <v>6893.52</v>
      </c>
      <c r="E2" s="3" t="s">
        <v>22</v>
      </c>
      <c r="F2" s="1">
        <v>47280.12</v>
      </c>
      <c r="G2" s="3" t="s">
        <v>22</v>
      </c>
      <c r="H2" s="3" t="s">
        <v>23</v>
      </c>
      <c r="I2" s="3" t="s">
        <v>24</v>
      </c>
      <c r="J2" s="3" t="s">
        <v>24</v>
      </c>
      <c r="K2" s="3"/>
    </row>
    <row r="3" spans="1:12" ht="22.95" customHeight="1" x14ac:dyDescent="0.3">
      <c r="A3" s="4" t="s">
        <v>109</v>
      </c>
      <c r="B3" s="4" t="s">
        <v>109</v>
      </c>
      <c r="C3" s="3" t="s">
        <v>111</v>
      </c>
      <c r="D3" s="6">
        <v>1527.95</v>
      </c>
      <c r="E3" s="3" t="s">
        <v>22</v>
      </c>
      <c r="F3" s="1">
        <v>40386.6</v>
      </c>
      <c r="G3" s="3" t="s">
        <v>22</v>
      </c>
      <c r="H3" s="3" t="s">
        <v>23</v>
      </c>
      <c r="I3" s="3" t="s">
        <v>24</v>
      </c>
      <c r="J3" s="3" t="s">
        <v>24</v>
      </c>
      <c r="K3" s="3"/>
    </row>
    <row r="4" spans="1:12" ht="22.95" customHeight="1" x14ac:dyDescent="0.3">
      <c r="A4" s="4" t="s">
        <v>102</v>
      </c>
      <c r="B4" s="4" t="s">
        <v>102</v>
      </c>
      <c r="C4" s="3" t="s">
        <v>103</v>
      </c>
      <c r="D4" s="6">
        <v>34051.25</v>
      </c>
      <c r="E4" s="3" t="s">
        <v>22</v>
      </c>
      <c r="F4" s="1">
        <v>38858.65</v>
      </c>
      <c r="G4" s="3" t="s">
        <v>22</v>
      </c>
      <c r="H4" s="3" t="s">
        <v>23</v>
      </c>
      <c r="I4" s="3" t="s">
        <v>24</v>
      </c>
      <c r="J4" s="3" t="s">
        <v>24</v>
      </c>
      <c r="K4" s="3"/>
    </row>
    <row r="5" spans="1:12" ht="22.95" customHeight="1" x14ac:dyDescent="0.3">
      <c r="A5" s="4" t="s">
        <v>102</v>
      </c>
      <c r="B5" s="4" t="s">
        <v>102</v>
      </c>
      <c r="C5" s="3" t="s">
        <v>53</v>
      </c>
      <c r="D5" s="6">
        <v>-400</v>
      </c>
      <c r="E5" s="3" t="s">
        <v>22</v>
      </c>
      <c r="F5" s="1">
        <v>4807.3999999999996</v>
      </c>
      <c r="G5" s="3" t="s">
        <v>22</v>
      </c>
      <c r="H5" s="3" t="s">
        <v>29</v>
      </c>
      <c r="I5" s="3" t="s">
        <v>24</v>
      </c>
      <c r="J5" s="3" t="s">
        <v>24</v>
      </c>
      <c r="K5" s="3"/>
    </row>
    <row r="6" spans="1:12" ht="22.95" customHeight="1" x14ac:dyDescent="0.3">
      <c r="A6" s="4" t="s">
        <v>102</v>
      </c>
      <c r="B6" s="4" t="s">
        <v>102</v>
      </c>
      <c r="C6" s="3" t="s">
        <v>101</v>
      </c>
      <c r="D6" s="6">
        <v>2541</v>
      </c>
      <c r="E6" s="3" t="s">
        <v>22</v>
      </c>
      <c r="F6" s="1">
        <v>5207.3999999999996</v>
      </c>
      <c r="G6" s="3" t="s">
        <v>22</v>
      </c>
      <c r="H6" s="3" t="s">
        <v>23</v>
      </c>
      <c r="I6" s="3" t="s">
        <v>24</v>
      </c>
      <c r="J6" s="3" t="s">
        <v>24</v>
      </c>
      <c r="K6" s="3"/>
    </row>
    <row r="7" spans="1:12" ht="22.95" customHeight="1" x14ac:dyDescent="0.3">
      <c r="A7" s="4" t="s">
        <v>100</v>
      </c>
      <c r="B7" s="4" t="s">
        <v>100</v>
      </c>
      <c r="C7" s="3" t="s">
        <v>28</v>
      </c>
      <c r="D7" s="6">
        <v>-8000</v>
      </c>
      <c r="E7" s="3" t="s">
        <v>22</v>
      </c>
      <c r="F7" s="1">
        <v>2666.4</v>
      </c>
      <c r="G7" s="3" t="s">
        <v>22</v>
      </c>
      <c r="H7" s="3" t="s">
        <v>29</v>
      </c>
      <c r="I7" s="3" t="s">
        <v>24</v>
      </c>
      <c r="J7" s="3" t="s">
        <v>24</v>
      </c>
      <c r="K7" s="3"/>
    </row>
    <row r="8" spans="1:12" ht="22.95" customHeight="1" x14ac:dyDescent="0.3">
      <c r="A8" s="4" t="s">
        <v>99</v>
      </c>
      <c r="B8" s="4" t="s">
        <v>99</v>
      </c>
      <c r="C8" s="3" t="s">
        <v>98</v>
      </c>
      <c r="D8" s="6">
        <v>907.5</v>
      </c>
      <c r="E8" s="3" t="s">
        <v>22</v>
      </c>
      <c r="F8" s="1">
        <v>10666.4</v>
      </c>
      <c r="G8" s="3" t="s">
        <v>22</v>
      </c>
      <c r="H8" s="3" t="s">
        <v>23</v>
      </c>
      <c r="I8" s="3" t="s">
        <v>24</v>
      </c>
      <c r="J8" s="3" t="s">
        <v>24</v>
      </c>
      <c r="K8" s="3"/>
    </row>
    <row r="9" spans="1:12" ht="22.95" customHeight="1" x14ac:dyDescent="0.3">
      <c r="A9" s="4" t="s">
        <v>97</v>
      </c>
      <c r="B9" s="4" t="s">
        <v>97</v>
      </c>
      <c r="C9" s="3" t="s">
        <v>96</v>
      </c>
      <c r="D9" s="6">
        <v>-30000</v>
      </c>
      <c r="E9" s="3" t="s">
        <v>22</v>
      </c>
      <c r="F9" s="1">
        <v>9758.9</v>
      </c>
      <c r="G9" s="3" t="s">
        <v>22</v>
      </c>
      <c r="H9" s="3" t="s">
        <v>29</v>
      </c>
      <c r="I9" s="3" t="s">
        <v>24</v>
      </c>
      <c r="J9" s="3" t="s">
        <v>24</v>
      </c>
      <c r="K9" s="3"/>
    </row>
    <row r="10" spans="1:12" ht="22.95" customHeight="1" x14ac:dyDescent="0.3">
      <c r="A10" s="4" t="s">
        <v>92</v>
      </c>
      <c r="B10" s="4" t="s">
        <v>92</v>
      </c>
      <c r="C10" s="3" t="s">
        <v>95</v>
      </c>
      <c r="D10" s="6">
        <v>-0.28999999999999998</v>
      </c>
      <c r="E10" s="3" t="s">
        <v>22</v>
      </c>
      <c r="F10" s="1">
        <v>39758.9</v>
      </c>
      <c r="G10" s="3" t="s">
        <v>22</v>
      </c>
      <c r="H10" s="3" t="s">
        <v>93</v>
      </c>
      <c r="I10" s="3"/>
      <c r="J10" s="3" t="s">
        <v>24</v>
      </c>
      <c r="K10" s="3"/>
    </row>
    <row r="11" spans="1:12" ht="22.95" customHeight="1" x14ac:dyDescent="0.3">
      <c r="A11" s="4" t="s">
        <v>92</v>
      </c>
      <c r="B11" s="4" t="s">
        <v>92</v>
      </c>
      <c r="C11" s="3" t="s">
        <v>94</v>
      </c>
      <c r="D11" s="6">
        <v>-0.86</v>
      </c>
      <c r="E11" s="3" t="s">
        <v>22</v>
      </c>
      <c r="F11" s="1">
        <v>39759.19</v>
      </c>
      <c r="G11" s="3" t="s">
        <v>22</v>
      </c>
      <c r="H11" s="3" t="s">
        <v>93</v>
      </c>
      <c r="I11" s="3" t="s">
        <v>24</v>
      </c>
      <c r="J11" s="3" t="s">
        <v>24</v>
      </c>
      <c r="K11" s="3"/>
    </row>
    <row r="12" spans="1:12" ht="22.95" customHeight="1" x14ac:dyDescent="0.3">
      <c r="A12" s="4" t="s">
        <v>92</v>
      </c>
      <c r="B12" s="4" t="s">
        <v>92</v>
      </c>
      <c r="C12" s="3" t="s">
        <v>91</v>
      </c>
      <c r="D12" s="6">
        <v>2552.27</v>
      </c>
      <c r="E12" s="3" t="s">
        <v>22</v>
      </c>
      <c r="F12" s="1">
        <v>39760.050000000003</v>
      </c>
      <c r="G12" s="3" t="s">
        <v>22</v>
      </c>
      <c r="H12" s="3" t="s">
        <v>23</v>
      </c>
      <c r="I12" s="3" t="s">
        <v>24</v>
      </c>
      <c r="J12" s="3" t="s">
        <v>24</v>
      </c>
      <c r="K12" s="3"/>
    </row>
    <row r="13" spans="1:12" ht="22.95" customHeight="1" x14ac:dyDescent="0.3">
      <c r="A13" s="4" t="s">
        <v>88</v>
      </c>
      <c r="B13" s="4" t="s">
        <v>88</v>
      </c>
      <c r="C13" s="3" t="s">
        <v>90</v>
      </c>
      <c r="D13" s="6">
        <v>6708.24</v>
      </c>
      <c r="E13" s="3" t="s">
        <v>22</v>
      </c>
      <c r="F13" s="1">
        <v>37207.78</v>
      </c>
      <c r="G13" s="3" t="s">
        <v>22</v>
      </c>
      <c r="H13" s="3" t="s">
        <v>23</v>
      </c>
      <c r="I13" s="3" t="s">
        <v>24</v>
      </c>
      <c r="J13" s="3" t="s">
        <v>24</v>
      </c>
      <c r="K13" s="3"/>
    </row>
    <row r="14" spans="1:12" ht="22.95" customHeight="1" x14ac:dyDescent="0.3">
      <c r="A14" s="4" t="s">
        <v>88</v>
      </c>
      <c r="B14" s="4" t="s">
        <v>88</v>
      </c>
      <c r="C14" s="3" t="s">
        <v>89</v>
      </c>
      <c r="D14" s="6">
        <v>2104.71</v>
      </c>
      <c r="E14" s="3" t="s">
        <v>22</v>
      </c>
      <c r="F14" s="1">
        <v>30499.54</v>
      </c>
      <c r="G14" s="3" t="s">
        <v>22</v>
      </c>
      <c r="H14" s="3" t="s">
        <v>23</v>
      </c>
      <c r="I14" s="3" t="s">
        <v>24</v>
      </c>
      <c r="J14" s="3" t="s">
        <v>24</v>
      </c>
      <c r="K14" s="3"/>
    </row>
    <row r="15" spans="1:12" ht="22.95" customHeight="1" x14ac:dyDescent="0.3">
      <c r="A15" s="4" t="s">
        <v>88</v>
      </c>
      <c r="B15" s="4" t="s">
        <v>88</v>
      </c>
      <c r="C15" s="3" t="s">
        <v>87</v>
      </c>
      <c r="D15" s="6">
        <v>1871.12</v>
      </c>
      <c r="E15" s="3" t="s">
        <v>22</v>
      </c>
      <c r="F15" s="1">
        <v>28394.83</v>
      </c>
      <c r="G15" s="3" t="s">
        <v>22</v>
      </c>
      <c r="H15" s="3" t="s">
        <v>23</v>
      </c>
      <c r="I15" s="3" t="s">
        <v>24</v>
      </c>
      <c r="J15" s="3" t="s">
        <v>24</v>
      </c>
      <c r="K15" s="3"/>
    </row>
    <row r="16" spans="1:12" ht="22.95" customHeight="1" x14ac:dyDescent="0.3">
      <c r="A16" s="4" t="s">
        <v>86</v>
      </c>
      <c r="B16" s="4" t="s">
        <v>85</v>
      </c>
      <c r="C16" s="3" t="s">
        <v>40</v>
      </c>
      <c r="D16" s="6">
        <v>-4467.12</v>
      </c>
      <c r="E16" s="3" t="s">
        <v>22</v>
      </c>
      <c r="F16" s="1">
        <v>26523.71</v>
      </c>
      <c r="G16" s="3" t="s">
        <v>22</v>
      </c>
      <c r="H16" s="3" t="s">
        <v>41</v>
      </c>
      <c r="I16" s="3" t="s">
        <v>24</v>
      </c>
      <c r="J16" s="3" t="s">
        <v>24</v>
      </c>
      <c r="K16" s="3"/>
    </row>
    <row r="17" spans="1:12" ht="22.95" customHeight="1" x14ac:dyDescent="0.3">
      <c r="A17" s="4" t="s">
        <v>84</v>
      </c>
      <c r="B17" s="4" t="s">
        <v>84</v>
      </c>
      <c r="C17" s="3" t="s">
        <v>83</v>
      </c>
      <c r="D17" s="6">
        <v>2178</v>
      </c>
      <c r="E17" s="3" t="s">
        <v>22</v>
      </c>
      <c r="F17" s="1">
        <v>30990.83</v>
      </c>
      <c r="G17" s="3" t="s">
        <v>22</v>
      </c>
      <c r="H17" s="3" t="s">
        <v>23</v>
      </c>
      <c r="I17" s="3"/>
      <c r="J17" s="3" t="s">
        <v>24</v>
      </c>
      <c r="K17" s="3" t="s">
        <v>24</v>
      </c>
      <c r="L17" s="3"/>
    </row>
  </sheetData>
  <conditionalFormatting sqref="D2:D17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8925-C120-4F2A-B08C-DD0DDD6B9D8D}">
  <dimension ref="A1:L24"/>
  <sheetViews>
    <sheetView workbookViewId="0">
      <selection activeCell="I9" sqref="I9:L2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23.3320312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125</v>
      </c>
      <c r="E3" s="3" t="s">
        <v>125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4</v>
      </c>
      <c r="D5" s="2" t="s">
        <v>5</v>
      </c>
      <c r="E5" s="2" t="s">
        <v>6</v>
      </c>
    </row>
    <row r="6" spans="1:12" ht="15" customHeight="1" x14ac:dyDescent="0.3">
      <c r="C6" s="3" t="s">
        <v>7</v>
      </c>
      <c r="D6" s="3" t="s">
        <v>8</v>
      </c>
      <c r="E6" s="3" t="s">
        <v>125</v>
      </c>
    </row>
    <row r="7" spans="1:12" ht="13.95" customHeight="1" x14ac:dyDescent="0.3">
      <c r="A7" s="18" t="s">
        <v>124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123</v>
      </c>
    </row>
    <row r="8" spans="1:12" ht="19.05" customHeight="1" x14ac:dyDescent="0.3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19</v>
      </c>
    </row>
    <row r="9" spans="1:12" ht="22.95" customHeight="1" x14ac:dyDescent="0.3">
      <c r="A9" s="4" t="s">
        <v>122</v>
      </c>
      <c r="B9" s="4" t="s">
        <v>122</v>
      </c>
      <c r="C9" s="3" t="s">
        <v>121</v>
      </c>
      <c r="D9" s="6">
        <v>3446.76</v>
      </c>
      <c r="E9" s="3" t="s">
        <v>22</v>
      </c>
      <c r="F9" s="1">
        <v>9696.1200000000008</v>
      </c>
      <c r="G9" s="3" t="s">
        <v>22</v>
      </c>
      <c r="H9" s="3" t="s">
        <v>23</v>
      </c>
    </row>
    <row r="10" spans="1:12" ht="22.95" customHeight="1" x14ac:dyDescent="0.3">
      <c r="A10" s="4" t="s">
        <v>120</v>
      </c>
      <c r="B10" s="4" t="s">
        <v>120</v>
      </c>
      <c r="C10" s="3" t="s">
        <v>119</v>
      </c>
      <c r="D10" s="6">
        <v>2541</v>
      </c>
      <c r="E10" s="3" t="s">
        <v>22</v>
      </c>
      <c r="F10" s="1">
        <v>6249.36</v>
      </c>
      <c r="G10" s="3" t="s">
        <v>22</v>
      </c>
      <c r="H10" s="3" t="s">
        <v>23</v>
      </c>
    </row>
    <row r="11" spans="1:12" ht="22.95" customHeight="1" x14ac:dyDescent="0.3">
      <c r="A11" s="4" t="s">
        <v>118</v>
      </c>
      <c r="B11" s="4" t="s">
        <v>118</v>
      </c>
      <c r="C11" s="3" t="s">
        <v>28</v>
      </c>
      <c r="D11" s="6">
        <v>-14000</v>
      </c>
      <c r="E11" s="3" t="s">
        <v>22</v>
      </c>
      <c r="F11" s="1">
        <v>3708.36</v>
      </c>
      <c r="G11" s="3" t="s">
        <v>22</v>
      </c>
      <c r="H11" s="3" t="s">
        <v>29</v>
      </c>
    </row>
    <row r="12" spans="1:12" ht="22.95" customHeight="1" x14ac:dyDescent="0.3">
      <c r="A12" s="4" t="s">
        <v>117</v>
      </c>
      <c r="B12" s="4" t="s">
        <v>117</v>
      </c>
      <c r="C12" s="3" t="s">
        <v>116</v>
      </c>
      <c r="D12" s="6">
        <v>907.5</v>
      </c>
      <c r="E12" s="3" t="s">
        <v>22</v>
      </c>
      <c r="F12" s="1">
        <v>17708.36</v>
      </c>
      <c r="G12" s="3" t="s">
        <v>22</v>
      </c>
      <c r="H12" s="3" t="s">
        <v>23</v>
      </c>
    </row>
    <row r="13" spans="1:12" ht="22.95" customHeight="1" x14ac:dyDescent="0.3">
      <c r="A13" s="4" t="s">
        <v>115</v>
      </c>
      <c r="B13" s="4" t="s">
        <v>115</v>
      </c>
      <c r="C13" s="3" t="s">
        <v>114</v>
      </c>
      <c r="D13" s="6">
        <v>2552.27</v>
      </c>
      <c r="E13" s="3" t="s">
        <v>22</v>
      </c>
      <c r="F13" s="1">
        <v>16800.86</v>
      </c>
      <c r="G13" s="3" t="s">
        <v>22</v>
      </c>
      <c r="H13" s="3" t="s">
        <v>23</v>
      </c>
    </row>
    <row r="14" spans="1:12" ht="22.95" customHeight="1" x14ac:dyDescent="0.3">
      <c r="A14" s="4" t="s">
        <v>113</v>
      </c>
      <c r="B14" s="4" t="s">
        <v>113</v>
      </c>
      <c r="C14" s="3" t="s">
        <v>112</v>
      </c>
      <c r="D14" s="6">
        <v>5733.5</v>
      </c>
      <c r="E14" s="3" t="s">
        <v>22</v>
      </c>
      <c r="F14" s="1">
        <v>14248.59</v>
      </c>
      <c r="G14" s="3" t="s">
        <v>22</v>
      </c>
      <c r="H14" s="3" t="s">
        <v>23</v>
      </c>
    </row>
    <row r="15" spans="1:12" ht="22.95" customHeight="1" x14ac:dyDescent="0.3">
      <c r="A15" s="4" t="s">
        <v>104</v>
      </c>
      <c r="B15" s="4" t="s">
        <v>104</v>
      </c>
      <c r="C15" s="3" t="s">
        <v>105</v>
      </c>
      <c r="D15" s="6">
        <v>-20000</v>
      </c>
      <c r="E15" s="3" t="s">
        <v>22</v>
      </c>
      <c r="F15" s="1">
        <v>8515.09</v>
      </c>
      <c r="G15" s="3" t="s">
        <v>22</v>
      </c>
      <c r="H15" s="3" t="s">
        <v>29</v>
      </c>
    </row>
    <row r="16" spans="1:12" ht="22.95" customHeight="1" x14ac:dyDescent="0.3">
      <c r="A16" s="4" t="s">
        <v>104</v>
      </c>
      <c r="B16" s="4" t="s">
        <v>104</v>
      </c>
      <c r="C16" s="3" t="s">
        <v>106</v>
      </c>
      <c r="D16" s="6">
        <v>-15797.63</v>
      </c>
      <c r="E16" s="3" t="s">
        <v>22</v>
      </c>
      <c r="F16" s="1">
        <v>28515.09</v>
      </c>
      <c r="G16" s="3" t="s">
        <v>22</v>
      </c>
      <c r="H16" s="3" t="s">
        <v>29</v>
      </c>
    </row>
    <row r="17" spans="1:8" ht="22.95" customHeight="1" x14ac:dyDescent="0.3">
      <c r="A17" s="4" t="s">
        <v>104</v>
      </c>
      <c r="B17" s="4" t="s">
        <v>104</v>
      </c>
      <c r="C17" s="3" t="s">
        <v>40</v>
      </c>
      <c r="D17" s="6">
        <v>-4467.12</v>
      </c>
      <c r="E17" s="3" t="s">
        <v>22</v>
      </c>
      <c r="F17" s="1">
        <v>44312.72</v>
      </c>
      <c r="G17" s="3" t="s">
        <v>22</v>
      </c>
      <c r="H17" s="3" t="s">
        <v>41</v>
      </c>
    </row>
    <row r="18" spans="1:8" ht="22.95" customHeight="1" x14ac:dyDescent="0.3">
      <c r="A18" s="4" t="s">
        <v>107</v>
      </c>
      <c r="B18" s="4" t="s">
        <v>107</v>
      </c>
      <c r="C18" s="3" t="s">
        <v>108</v>
      </c>
      <c r="D18" s="6">
        <v>1499.72</v>
      </c>
      <c r="E18" s="3" t="s">
        <v>22</v>
      </c>
      <c r="F18" s="1">
        <v>48779.839999999997</v>
      </c>
      <c r="G18" s="3" t="s">
        <v>22</v>
      </c>
      <c r="H18" s="3" t="s">
        <v>23</v>
      </c>
    </row>
    <row r="19" spans="1:8" x14ac:dyDescent="0.3">
      <c r="D19" s="6"/>
    </row>
    <row r="20" spans="1:8" x14ac:dyDescent="0.3">
      <c r="D20" s="6"/>
    </row>
    <row r="21" spans="1:8" x14ac:dyDescent="0.3">
      <c r="D21" s="6"/>
    </row>
    <row r="22" spans="1:8" x14ac:dyDescent="0.3">
      <c r="D22" s="6"/>
    </row>
    <row r="23" spans="1:8" x14ac:dyDescent="0.3">
      <c r="D23" s="6"/>
    </row>
    <row r="24" spans="1:8" x14ac:dyDescent="0.3">
      <c r="D24" s="6"/>
    </row>
  </sheetData>
  <mergeCells count="3">
    <mergeCell ref="A1:B5"/>
    <mergeCell ref="A7:C7"/>
    <mergeCell ref="D7:J7"/>
  </mergeCells>
  <conditionalFormatting sqref="D9:D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37B3-7ADE-4D4A-8442-269F77F224CC}">
  <dimension ref="A1:L21"/>
  <sheetViews>
    <sheetView workbookViewId="0">
      <selection activeCell="I9" sqref="I9:J20"/>
    </sheetView>
  </sheetViews>
  <sheetFormatPr baseColWidth="10" defaultColWidth="8.88671875" defaultRowHeight="14.4" x14ac:dyDescent="0.3"/>
  <cols>
    <col min="1" max="2" width="10.5546875" customWidth="1"/>
    <col min="3" max="3" width="62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.44140625" bestFit="1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151</v>
      </c>
      <c r="E3" s="7" t="s">
        <v>151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4</v>
      </c>
      <c r="D5" s="11" t="s">
        <v>5</v>
      </c>
      <c r="E5" s="11" t="s">
        <v>6</v>
      </c>
    </row>
    <row r="6" spans="1:12" ht="15" customHeight="1" x14ac:dyDescent="0.3">
      <c r="C6" s="7" t="s">
        <v>7</v>
      </c>
      <c r="D6" s="7" t="s">
        <v>8</v>
      </c>
      <c r="E6" s="7" t="s">
        <v>151</v>
      </c>
    </row>
    <row r="7" spans="1:12" ht="13.95" customHeight="1" x14ac:dyDescent="0.3">
      <c r="A7" s="19" t="s">
        <v>150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149</v>
      </c>
    </row>
    <row r="8" spans="1:12" ht="19.05" customHeight="1" x14ac:dyDescent="0.3">
      <c r="A8" s="10" t="s">
        <v>9</v>
      </c>
      <c r="B8" s="10" t="s">
        <v>10</v>
      </c>
      <c r="C8" s="10" t="s">
        <v>11</v>
      </c>
      <c r="D8" s="10" t="s">
        <v>12</v>
      </c>
      <c r="E8" s="10" t="s">
        <v>13</v>
      </c>
      <c r="F8" s="10" t="s">
        <v>14</v>
      </c>
      <c r="G8" s="10" t="s">
        <v>13</v>
      </c>
      <c r="H8" s="10" t="s">
        <v>15</v>
      </c>
      <c r="I8" s="10" t="s">
        <v>16</v>
      </c>
      <c r="J8" s="10" t="s">
        <v>17</v>
      </c>
      <c r="K8" s="10" t="s">
        <v>18</v>
      </c>
      <c r="L8" s="10" t="s">
        <v>19</v>
      </c>
    </row>
    <row r="9" spans="1:12" ht="22.95" customHeight="1" x14ac:dyDescent="0.3">
      <c r="A9" s="9" t="s">
        <v>148</v>
      </c>
      <c r="B9" s="9" t="s">
        <v>148</v>
      </c>
      <c r="C9" s="7" t="s">
        <v>147</v>
      </c>
      <c r="D9" s="6">
        <v>3446.76</v>
      </c>
      <c r="E9" s="7" t="s">
        <v>22</v>
      </c>
      <c r="F9" s="8">
        <v>8127.02</v>
      </c>
      <c r="G9" s="7" t="s">
        <v>22</v>
      </c>
      <c r="H9" s="7" t="s">
        <v>23</v>
      </c>
      <c r="I9" s="7" t="s">
        <v>24</v>
      </c>
      <c r="J9" s="7"/>
    </row>
    <row r="10" spans="1:12" ht="22.95" customHeight="1" x14ac:dyDescent="0.3">
      <c r="A10" s="9" t="s">
        <v>144</v>
      </c>
      <c r="B10" s="9" t="s">
        <v>144</v>
      </c>
      <c r="C10" s="7" t="s">
        <v>146</v>
      </c>
      <c r="D10" s="6">
        <v>-20000</v>
      </c>
      <c r="E10" s="7" t="s">
        <v>22</v>
      </c>
      <c r="F10" s="8">
        <v>4680.26</v>
      </c>
      <c r="G10" s="7" t="s">
        <v>22</v>
      </c>
      <c r="H10" s="7" t="s">
        <v>29</v>
      </c>
      <c r="I10" s="7" t="s">
        <v>24</v>
      </c>
      <c r="J10" s="7"/>
    </row>
    <row r="11" spans="1:12" ht="22.95" customHeight="1" x14ac:dyDescent="0.3">
      <c r="A11" s="9" t="s">
        <v>144</v>
      </c>
      <c r="B11" s="9" t="s">
        <v>144</v>
      </c>
      <c r="C11" s="7" t="s">
        <v>145</v>
      </c>
      <c r="D11" s="6">
        <v>2552.27</v>
      </c>
      <c r="E11" s="7" t="s">
        <v>22</v>
      </c>
      <c r="F11" s="8">
        <v>24680.26</v>
      </c>
      <c r="G11" s="7" t="s">
        <v>22</v>
      </c>
      <c r="H11" s="7" t="s">
        <v>23</v>
      </c>
      <c r="I11" s="7" t="s">
        <v>24</v>
      </c>
      <c r="J11" s="7"/>
    </row>
    <row r="12" spans="1:12" ht="22.95" customHeight="1" x14ac:dyDescent="0.3">
      <c r="A12" s="9" t="s">
        <v>144</v>
      </c>
      <c r="B12" s="9" t="s">
        <v>144</v>
      </c>
      <c r="C12" s="7" t="s">
        <v>143</v>
      </c>
      <c r="D12" s="6">
        <v>2541</v>
      </c>
      <c r="E12" s="7" t="s">
        <v>22</v>
      </c>
      <c r="F12" s="8">
        <v>22127.99</v>
      </c>
      <c r="G12" s="7" t="s">
        <v>22</v>
      </c>
      <c r="H12" s="7" t="s">
        <v>23</v>
      </c>
      <c r="I12" s="7" t="s">
        <v>24</v>
      </c>
      <c r="J12" s="7"/>
    </row>
    <row r="13" spans="1:12" ht="22.95" customHeight="1" x14ac:dyDescent="0.3">
      <c r="A13" s="9" t="s">
        <v>142</v>
      </c>
      <c r="B13" s="9" t="s">
        <v>142</v>
      </c>
      <c r="C13" s="7" t="s">
        <v>141</v>
      </c>
      <c r="D13" s="6">
        <v>907.5</v>
      </c>
      <c r="E13" s="7" t="s">
        <v>22</v>
      </c>
      <c r="F13" s="8">
        <v>19586.990000000002</v>
      </c>
      <c r="G13" s="7" t="s">
        <v>22</v>
      </c>
      <c r="H13" s="7" t="s">
        <v>23</v>
      </c>
      <c r="I13" s="7" t="s">
        <v>24</v>
      </c>
      <c r="J13" s="7"/>
    </row>
    <row r="14" spans="1:12" ht="22.95" customHeight="1" x14ac:dyDescent="0.3">
      <c r="A14" s="9" t="s">
        <v>140</v>
      </c>
      <c r="B14" s="9" t="s">
        <v>140</v>
      </c>
      <c r="C14" s="7" t="s">
        <v>139</v>
      </c>
      <c r="D14" s="6">
        <v>15997.58</v>
      </c>
      <c r="E14" s="7" t="s">
        <v>22</v>
      </c>
      <c r="F14" s="8">
        <v>18679.490000000002</v>
      </c>
      <c r="G14" s="7" t="s">
        <v>22</v>
      </c>
      <c r="H14" s="7" t="s">
        <v>23</v>
      </c>
      <c r="I14" s="7" t="s">
        <v>24</v>
      </c>
      <c r="J14" s="7"/>
    </row>
    <row r="15" spans="1:12" ht="22.95" customHeight="1" x14ac:dyDescent="0.3">
      <c r="A15" s="9" t="s">
        <v>137</v>
      </c>
      <c r="B15" s="9" t="s">
        <v>137</v>
      </c>
      <c r="C15" s="7" t="s">
        <v>138</v>
      </c>
      <c r="D15" s="6">
        <v>-20000</v>
      </c>
      <c r="E15" s="7" t="s">
        <v>22</v>
      </c>
      <c r="F15" s="8">
        <v>2681.91</v>
      </c>
      <c r="G15" s="7" t="s">
        <v>22</v>
      </c>
      <c r="H15" s="7" t="s">
        <v>29</v>
      </c>
      <c r="I15" s="7" t="s">
        <v>24</v>
      </c>
      <c r="J15" s="7"/>
    </row>
    <row r="16" spans="1:12" ht="22.95" customHeight="1" x14ac:dyDescent="0.3">
      <c r="A16" s="9" t="s">
        <v>137</v>
      </c>
      <c r="B16" s="9" t="s">
        <v>137</v>
      </c>
      <c r="C16" s="7" t="s">
        <v>136</v>
      </c>
      <c r="D16" s="6">
        <v>12000</v>
      </c>
      <c r="E16" s="7" t="s">
        <v>22</v>
      </c>
      <c r="F16" s="8">
        <v>22681.91</v>
      </c>
      <c r="G16" s="7" t="s">
        <v>22</v>
      </c>
      <c r="H16" s="7" t="s">
        <v>23</v>
      </c>
      <c r="I16" s="7" t="s">
        <v>24</v>
      </c>
      <c r="J16" s="7"/>
    </row>
    <row r="17" spans="1:12" ht="22.95" customHeight="1" x14ac:dyDescent="0.3">
      <c r="A17" s="9" t="s">
        <v>135</v>
      </c>
      <c r="B17" s="9" t="s">
        <v>135</v>
      </c>
      <c r="C17" s="7" t="s">
        <v>134</v>
      </c>
      <c r="D17" s="6">
        <v>2552.27</v>
      </c>
      <c r="E17" s="7" t="s">
        <v>22</v>
      </c>
      <c r="F17" s="8">
        <v>10681.91</v>
      </c>
      <c r="G17" s="7" t="s">
        <v>22</v>
      </c>
      <c r="H17" s="7" t="s">
        <v>23</v>
      </c>
      <c r="I17" s="7" t="s">
        <v>24</v>
      </c>
      <c r="J17" s="7"/>
    </row>
    <row r="18" spans="1:12" ht="22.95" customHeight="1" x14ac:dyDescent="0.3">
      <c r="A18" s="9" t="s">
        <v>133</v>
      </c>
      <c r="B18" s="9" t="s">
        <v>133</v>
      </c>
      <c r="C18" s="7" t="s">
        <v>132</v>
      </c>
      <c r="D18" s="6">
        <v>1443.2</v>
      </c>
      <c r="E18" s="7" t="s">
        <v>22</v>
      </c>
      <c r="F18" s="8">
        <v>8129.64</v>
      </c>
      <c r="G18" s="7" t="s">
        <v>22</v>
      </c>
      <c r="H18" s="7" t="s">
        <v>23</v>
      </c>
      <c r="I18" s="7" t="s">
        <v>24</v>
      </c>
      <c r="J18" s="7"/>
    </row>
    <row r="19" spans="1:12" ht="22.95" customHeight="1" x14ac:dyDescent="0.3">
      <c r="A19" s="9" t="s">
        <v>131</v>
      </c>
      <c r="B19" s="9" t="s">
        <v>130</v>
      </c>
      <c r="C19" s="7" t="s">
        <v>40</v>
      </c>
      <c r="D19" s="6">
        <v>-4467.12</v>
      </c>
      <c r="E19" s="7" t="s">
        <v>22</v>
      </c>
      <c r="F19" s="8">
        <v>6686.44</v>
      </c>
      <c r="G19" s="7" t="s">
        <v>22</v>
      </c>
      <c r="H19" s="7" t="s">
        <v>41</v>
      </c>
      <c r="I19" s="7" t="s">
        <v>24</v>
      </c>
      <c r="J19" s="7"/>
    </row>
    <row r="20" spans="1:12" ht="22.95" customHeight="1" x14ac:dyDescent="0.3">
      <c r="A20" s="9" t="s">
        <v>129</v>
      </c>
      <c r="B20" s="9" t="s">
        <v>129</v>
      </c>
      <c r="C20" s="7" t="s">
        <v>128</v>
      </c>
      <c r="D20" s="6">
        <v>1547.44</v>
      </c>
      <c r="E20" s="7" t="s">
        <v>22</v>
      </c>
      <c r="F20" s="8">
        <v>11153.56</v>
      </c>
      <c r="G20" s="7" t="s">
        <v>22</v>
      </c>
      <c r="H20" s="7" t="s">
        <v>23</v>
      </c>
      <c r="I20" s="7" t="s">
        <v>24</v>
      </c>
      <c r="J20" s="7"/>
    </row>
    <row r="21" spans="1:12" ht="22.95" customHeight="1" x14ac:dyDescent="0.3">
      <c r="A21" s="9" t="s">
        <v>127</v>
      </c>
      <c r="B21" s="9" t="s">
        <v>126</v>
      </c>
      <c r="C21" s="7" t="s">
        <v>65</v>
      </c>
      <c r="D21" s="6">
        <v>-90</v>
      </c>
      <c r="E21" s="7" t="s">
        <v>22</v>
      </c>
      <c r="F21" s="8">
        <v>9606.1200000000008</v>
      </c>
      <c r="G21" s="7" t="s">
        <v>22</v>
      </c>
      <c r="H21" s="7" t="s">
        <v>41</v>
      </c>
      <c r="I21" s="7"/>
      <c r="J21" s="7" t="s">
        <v>24</v>
      </c>
      <c r="K21" s="7" t="s">
        <v>24</v>
      </c>
      <c r="L21" s="7"/>
    </row>
  </sheetData>
  <mergeCells count="3">
    <mergeCell ref="A1:B5"/>
    <mergeCell ref="A7:C7"/>
    <mergeCell ref="D7:J7"/>
  </mergeCells>
  <conditionalFormatting sqref="D9:D21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B59F-B4CA-4C73-9DB8-47C1218F653D}">
  <dimension ref="A1:L22"/>
  <sheetViews>
    <sheetView workbookViewId="0">
      <selection activeCell="I9" sqref="I9:J22"/>
    </sheetView>
  </sheetViews>
  <sheetFormatPr baseColWidth="10" defaultColWidth="8.88671875" defaultRowHeight="14.4" x14ac:dyDescent="0.3"/>
  <cols>
    <col min="1" max="2" width="10.5546875" customWidth="1"/>
    <col min="3" max="3" width="58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152</v>
      </c>
      <c r="E3" s="13" t="s">
        <v>152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4</v>
      </c>
      <c r="D5" s="12" t="s">
        <v>5</v>
      </c>
      <c r="E5" s="12" t="s">
        <v>6</v>
      </c>
    </row>
    <row r="6" spans="1:12" ht="15" customHeight="1" x14ac:dyDescent="0.3">
      <c r="C6" s="13" t="s">
        <v>7</v>
      </c>
      <c r="D6" s="13" t="s">
        <v>8</v>
      </c>
      <c r="E6" s="13" t="s">
        <v>152</v>
      </c>
    </row>
    <row r="7" spans="1:12" ht="13.95" customHeight="1" x14ac:dyDescent="0.3">
      <c r="A7" s="20" t="s">
        <v>153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154</v>
      </c>
    </row>
    <row r="8" spans="1:12" ht="19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13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</row>
    <row r="9" spans="1:12" ht="22.95" customHeight="1" x14ac:dyDescent="0.3">
      <c r="A9" s="15" t="s">
        <v>155</v>
      </c>
      <c r="B9" s="15" t="s">
        <v>155</v>
      </c>
      <c r="C9" s="13" t="s">
        <v>156</v>
      </c>
      <c r="D9" s="6">
        <v>3446.76</v>
      </c>
      <c r="E9" s="13" t="s">
        <v>22</v>
      </c>
      <c r="F9" s="16">
        <v>18226.96</v>
      </c>
      <c r="G9" s="13" t="s">
        <v>22</v>
      </c>
      <c r="H9" s="13" t="s">
        <v>23</v>
      </c>
      <c r="I9" s="13" t="s">
        <v>24</v>
      </c>
      <c r="J9" s="13"/>
    </row>
    <row r="10" spans="1:12" ht="22.95" customHeight="1" x14ac:dyDescent="0.3">
      <c r="A10" s="15" t="s">
        <v>157</v>
      </c>
      <c r="B10" s="15" t="s">
        <v>157</v>
      </c>
      <c r="C10" s="13" t="s">
        <v>158</v>
      </c>
      <c r="D10" s="6">
        <v>2552.27</v>
      </c>
      <c r="E10" s="13" t="s">
        <v>22</v>
      </c>
      <c r="F10" s="16">
        <v>14780.2</v>
      </c>
      <c r="G10" s="13" t="s">
        <v>22</v>
      </c>
      <c r="H10" s="13" t="s">
        <v>23</v>
      </c>
      <c r="I10" s="13" t="s">
        <v>24</v>
      </c>
      <c r="J10" s="13"/>
    </row>
    <row r="11" spans="1:12" ht="22.95" customHeight="1" x14ac:dyDescent="0.3">
      <c r="A11" s="15" t="s">
        <v>157</v>
      </c>
      <c r="B11" s="15" t="s">
        <v>157</v>
      </c>
      <c r="C11" s="13" t="s">
        <v>159</v>
      </c>
      <c r="D11" s="6">
        <v>1527.95</v>
      </c>
      <c r="E11" s="13" t="s">
        <v>22</v>
      </c>
      <c r="F11" s="16">
        <v>12227.93</v>
      </c>
      <c r="G11" s="13" t="s">
        <v>22</v>
      </c>
      <c r="H11" s="13" t="s">
        <v>23</v>
      </c>
      <c r="I11" s="13" t="s">
        <v>24</v>
      </c>
      <c r="J11" s="13"/>
    </row>
    <row r="12" spans="1:12" ht="22.95" customHeight="1" x14ac:dyDescent="0.3">
      <c r="A12" s="15" t="s">
        <v>160</v>
      </c>
      <c r="B12" s="15" t="s">
        <v>160</v>
      </c>
      <c r="C12" s="13" t="s">
        <v>161</v>
      </c>
      <c r="D12" s="6">
        <v>363</v>
      </c>
      <c r="E12" s="13" t="s">
        <v>22</v>
      </c>
      <c r="F12" s="16">
        <v>10699.98</v>
      </c>
      <c r="G12" s="13" t="s">
        <v>22</v>
      </c>
      <c r="H12" s="13" t="s">
        <v>23</v>
      </c>
      <c r="I12" s="13" t="s">
        <v>24</v>
      </c>
      <c r="J12" s="13"/>
    </row>
    <row r="13" spans="1:12" ht="22.95" customHeight="1" x14ac:dyDescent="0.3">
      <c r="A13" s="15" t="s">
        <v>160</v>
      </c>
      <c r="B13" s="15" t="s">
        <v>160</v>
      </c>
      <c r="C13" s="13" t="s">
        <v>162</v>
      </c>
      <c r="D13" s="6">
        <v>2541</v>
      </c>
      <c r="E13" s="13" t="s">
        <v>22</v>
      </c>
      <c r="F13" s="16">
        <v>10336.98</v>
      </c>
      <c r="G13" s="13" t="s">
        <v>22</v>
      </c>
      <c r="H13" s="13" t="s">
        <v>23</v>
      </c>
      <c r="I13" s="13" t="s">
        <v>24</v>
      </c>
      <c r="J13" s="13"/>
    </row>
    <row r="14" spans="1:12" ht="22.95" customHeight="1" x14ac:dyDescent="0.3">
      <c r="A14" s="15" t="s">
        <v>160</v>
      </c>
      <c r="B14" s="15" t="s">
        <v>160</v>
      </c>
      <c r="C14" s="13" t="s">
        <v>163</v>
      </c>
      <c r="D14" s="6">
        <v>1210</v>
      </c>
      <c r="E14" s="13" t="s">
        <v>22</v>
      </c>
      <c r="F14" s="16">
        <v>7795.98</v>
      </c>
      <c r="G14" s="13" t="s">
        <v>22</v>
      </c>
      <c r="H14" s="13" t="s">
        <v>23</v>
      </c>
      <c r="I14" s="13" t="s">
        <v>24</v>
      </c>
      <c r="J14" s="13"/>
    </row>
    <row r="15" spans="1:12" ht="22.95" customHeight="1" x14ac:dyDescent="0.3">
      <c r="A15" s="15" t="s">
        <v>160</v>
      </c>
      <c r="B15" s="15" t="s">
        <v>160</v>
      </c>
      <c r="C15" s="13" t="s">
        <v>164</v>
      </c>
      <c r="D15" s="6">
        <v>242</v>
      </c>
      <c r="E15" s="13" t="s">
        <v>22</v>
      </c>
      <c r="F15" s="16">
        <v>6585.98</v>
      </c>
      <c r="G15" s="13" t="s">
        <v>22</v>
      </c>
      <c r="H15" s="13" t="s">
        <v>23</v>
      </c>
      <c r="I15" s="13" t="s">
        <v>24</v>
      </c>
      <c r="J15" s="13"/>
    </row>
    <row r="16" spans="1:12" ht="22.95" customHeight="1" x14ac:dyDescent="0.3">
      <c r="A16" s="15" t="s">
        <v>160</v>
      </c>
      <c r="B16" s="15" t="s">
        <v>160</v>
      </c>
      <c r="C16" s="13" t="s">
        <v>165</v>
      </c>
      <c r="D16" s="6">
        <v>2420</v>
      </c>
      <c r="E16" s="13" t="s">
        <v>22</v>
      </c>
      <c r="F16" s="16">
        <v>6343.98</v>
      </c>
      <c r="G16" s="13" t="s">
        <v>22</v>
      </c>
      <c r="H16" s="13" t="s">
        <v>23</v>
      </c>
      <c r="I16" s="13" t="s">
        <v>24</v>
      </c>
      <c r="J16" s="13"/>
    </row>
    <row r="17" spans="1:10" ht="22.95" customHeight="1" x14ac:dyDescent="0.3">
      <c r="A17" s="15" t="s">
        <v>166</v>
      </c>
      <c r="B17" s="15" t="s">
        <v>166</v>
      </c>
      <c r="C17" s="13" t="s">
        <v>28</v>
      </c>
      <c r="D17" s="6">
        <v>-20000</v>
      </c>
      <c r="E17" s="13" t="s">
        <v>22</v>
      </c>
      <c r="F17" s="16">
        <v>3923.98</v>
      </c>
      <c r="G17" s="13" t="s">
        <v>22</v>
      </c>
      <c r="H17" s="13" t="s">
        <v>29</v>
      </c>
      <c r="I17" s="13" t="s">
        <v>24</v>
      </c>
      <c r="J17" s="13"/>
    </row>
    <row r="18" spans="1:10" ht="22.95" customHeight="1" x14ac:dyDescent="0.3">
      <c r="A18" s="15" t="s">
        <v>166</v>
      </c>
      <c r="B18" s="15" t="s">
        <v>166</v>
      </c>
      <c r="C18" s="13" t="s">
        <v>167</v>
      </c>
      <c r="D18" s="6">
        <v>907.5</v>
      </c>
      <c r="E18" s="13" t="s">
        <v>22</v>
      </c>
      <c r="F18" s="16">
        <v>23923.98</v>
      </c>
      <c r="G18" s="13" t="s">
        <v>22</v>
      </c>
      <c r="H18" s="13" t="s">
        <v>23</v>
      </c>
      <c r="I18" s="13" t="s">
        <v>24</v>
      </c>
      <c r="J18" s="13"/>
    </row>
    <row r="19" spans="1:10" ht="22.95" customHeight="1" x14ac:dyDescent="0.3">
      <c r="A19" s="15" t="s">
        <v>168</v>
      </c>
      <c r="B19" s="15" t="s">
        <v>168</v>
      </c>
      <c r="C19" s="13" t="s">
        <v>169</v>
      </c>
      <c r="D19" s="6">
        <v>10609.28</v>
      </c>
      <c r="E19" s="13" t="s">
        <v>22</v>
      </c>
      <c r="F19" s="16">
        <v>23016.48</v>
      </c>
      <c r="G19" s="13" t="s">
        <v>22</v>
      </c>
      <c r="H19" s="13" t="s">
        <v>23</v>
      </c>
      <c r="I19" s="13" t="s">
        <v>24</v>
      </c>
      <c r="J19" s="13"/>
    </row>
    <row r="20" spans="1:10" ht="22.95" customHeight="1" x14ac:dyDescent="0.3">
      <c r="A20" s="15" t="s">
        <v>170</v>
      </c>
      <c r="B20" s="15" t="s">
        <v>170</v>
      </c>
      <c r="C20" s="13" t="s">
        <v>171</v>
      </c>
      <c r="D20" s="6">
        <v>-1000</v>
      </c>
      <c r="E20" s="13" t="s">
        <v>22</v>
      </c>
      <c r="F20" s="16">
        <v>12407.2</v>
      </c>
      <c r="G20" s="13" t="s">
        <v>22</v>
      </c>
      <c r="H20" s="13" t="s">
        <v>29</v>
      </c>
      <c r="I20" s="13" t="s">
        <v>24</v>
      </c>
      <c r="J20" s="13"/>
    </row>
    <row r="21" spans="1:10" ht="22.95" customHeight="1" x14ac:dyDescent="0.3">
      <c r="A21" s="15" t="s">
        <v>172</v>
      </c>
      <c r="B21" s="15" t="s">
        <v>173</v>
      </c>
      <c r="C21" s="13" t="s">
        <v>40</v>
      </c>
      <c r="D21" s="6">
        <v>-4467.12</v>
      </c>
      <c r="E21" s="13" t="s">
        <v>22</v>
      </c>
      <c r="F21" s="16">
        <v>13407.2</v>
      </c>
      <c r="G21" s="13" t="s">
        <v>22</v>
      </c>
      <c r="H21" s="13" t="s">
        <v>41</v>
      </c>
      <c r="I21" s="13" t="s">
        <v>24</v>
      </c>
      <c r="J21" s="13"/>
    </row>
    <row r="22" spans="1:10" ht="22.95" customHeight="1" x14ac:dyDescent="0.3">
      <c r="A22" s="15" t="s">
        <v>174</v>
      </c>
      <c r="B22" s="15" t="s">
        <v>174</v>
      </c>
      <c r="C22" s="13" t="s">
        <v>175</v>
      </c>
      <c r="D22" s="6">
        <v>9747.2999999999993</v>
      </c>
      <c r="E22" s="13" t="s">
        <v>22</v>
      </c>
      <c r="F22" s="16">
        <v>17874.32</v>
      </c>
      <c r="G22" s="13" t="s">
        <v>22</v>
      </c>
      <c r="H22" s="13" t="s">
        <v>23</v>
      </c>
      <c r="I22" s="13" t="s">
        <v>24</v>
      </c>
      <c r="J22" s="13"/>
    </row>
  </sheetData>
  <mergeCells count="3">
    <mergeCell ref="A1:B5"/>
    <mergeCell ref="A7:C7"/>
    <mergeCell ref="D7:J7"/>
  </mergeCells>
  <conditionalFormatting sqref="D9:D22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A94A-CC37-4B94-AD76-D0B150FFEF7F}">
  <dimension ref="A1:L14"/>
  <sheetViews>
    <sheetView workbookViewId="0">
      <selection activeCell="I9" sqref="I9:O14"/>
    </sheetView>
  </sheetViews>
  <sheetFormatPr baseColWidth="10" defaultColWidth="8.88671875" defaultRowHeight="14.4" x14ac:dyDescent="0.3"/>
  <cols>
    <col min="1" max="2" width="10.5546875" customWidth="1"/>
    <col min="3" max="3" width="56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33203125" customWidth="1"/>
    <col min="10" max="10" width="16.7773437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187</v>
      </c>
      <c r="E3" s="13" t="s">
        <v>187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4</v>
      </c>
      <c r="D5" s="12" t="s">
        <v>5</v>
      </c>
      <c r="E5" s="12" t="s">
        <v>6</v>
      </c>
    </row>
    <row r="6" spans="1:12" ht="15" customHeight="1" x14ac:dyDescent="0.3">
      <c r="C6" s="13" t="s">
        <v>7</v>
      </c>
      <c r="D6" s="13" t="s">
        <v>8</v>
      </c>
      <c r="E6" s="13" t="s">
        <v>187</v>
      </c>
    </row>
    <row r="7" spans="1:12" ht="13.95" customHeight="1" x14ac:dyDescent="0.3">
      <c r="A7" s="20" t="s">
        <v>186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185</v>
      </c>
    </row>
    <row r="8" spans="1:12" ht="19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13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</row>
    <row r="9" spans="1:12" ht="22.95" customHeight="1" x14ac:dyDescent="0.3">
      <c r="A9" s="15" t="s">
        <v>184</v>
      </c>
      <c r="B9" s="15" t="s">
        <v>184</v>
      </c>
      <c r="C9" s="13" t="s">
        <v>183</v>
      </c>
      <c r="D9" s="6">
        <v>3446.76</v>
      </c>
      <c r="E9" s="13" t="s">
        <v>22</v>
      </c>
      <c r="F9" s="16">
        <v>13191.14</v>
      </c>
      <c r="G9" s="13" t="s">
        <v>22</v>
      </c>
      <c r="H9" s="13" t="s">
        <v>23</v>
      </c>
    </row>
    <row r="10" spans="1:12" ht="22.95" customHeight="1" x14ac:dyDescent="0.3">
      <c r="A10" s="15" t="s">
        <v>182</v>
      </c>
      <c r="B10" s="15" t="s">
        <v>182</v>
      </c>
      <c r="C10" s="13" t="s">
        <v>181</v>
      </c>
      <c r="D10" s="6">
        <v>2541</v>
      </c>
      <c r="E10" s="13" t="s">
        <v>22</v>
      </c>
      <c r="F10" s="16">
        <v>9744.3799999999992</v>
      </c>
      <c r="G10" s="13" t="s">
        <v>22</v>
      </c>
      <c r="H10" s="13" t="s">
        <v>23</v>
      </c>
    </row>
    <row r="11" spans="1:12" ht="22.95" customHeight="1" x14ac:dyDescent="0.3">
      <c r="A11" s="15" t="s">
        <v>180</v>
      </c>
      <c r="B11" s="15" t="s">
        <v>180</v>
      </c>
      <c r="C11" s="13" t="s">
        <v>28</v>
      </c>
      <c r="D11" s="6">
        <v>-40000</v>
      </c>
      <c r="E11" s="13" t="s">
        <v>22</v>
      </c>
      <c r="F11" s="16">
        <v>7203.38</v>
      </c>
      <c r="G11" s="13" t="s">
        <v>22</v>
      </c>
      <c r="H11" s="13" t="s">
        <v>29</v>
      </c>
    </row>
    <row r="12" spans="1:12" ht="22.95" customHeight="1" x14ac:dyDescent="0.3">
      <c r="A12" s="15" t="s">
        <v>180</v>
      </c>
      <c r="B12" s="15" t="s">
        <v>180</v>
      </c>
      <c r="C12" s="13" t="s">
        <v>179</v>
      </c>
      <c r="D12" s="6">
        <v>23642.2</v>
      </c>
      <c r="E12" s="13" t="s">
        <v>22</v>
      </c>
      <c r="F12" s="16">
        <v>47203.38</v>
      </c>
      <c r="G12" s="13" t="s">
        <v>22</v>
      </c>
      <c r="H12" s="13" t="s">
        <v>23</v>
      </c>
    </row>
    <row r="13" spans="1:12" ht="22.95" customHeight="1" x14ac:dyDescent="0.3">
      <c r="A13" s="15" t="s">
        <v>178</v>
      </c>
      <c r="B13" s="15" t="s">
        <v>178</v>
      </c>
      <c r="C13" s="13" t="s">
        <v>40</v>
      </c>
      <c r="D13" s="6">
        <v>-4467.12</v>
      </c>
      <c r="E13" s="13" t="s">
        <v>22</v>
      </c>
      <c r="F13" s="16">
        <v>23561.18</v>
      </c>
      <c r="G13" s="13" t="s">
        <v>22</v>
      </c>
      <c r="H13" s="13" t="s">
        <v>41</v>
      </c>
    </row>
    <row r="14" spans="1:12" ht="22.95" customHeight="1" x14ac:dyDescent="0.3">
      <c r="A14" s="15" t="s">
        <v>177</v>
      </c>
      <c r="B14" s="15" t="s">
        <v>177</v>
      </c>
      <c r="C14" s="13" t="s">
        <v>176</v>
      </c>
      <c r="D14" s="6">
        <v>9801.34</v>
      </c>
      <c r="E14" s="13" t="s">
        <v>22</v>
      </c>
      <c r="F14" s="16">
        <v>28028.3</v>
      </c>
      <c r="G14" s="13" t="s">
        <v>22</v>
      </c>
      <c r="H14" s="13" t="s">
        <v>23</v>
      </c>
    </row>
  </sheetData>
  <mergeCells count="3">
    <mergeCell ref="A1:B5"/>
    <mergeCell ref="A7:C7"/>
    <mergeCell ref="D7:J7"/>
  </mergeCells>
  <conditionalFormatting sqref="D9:D1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BFF7-BADA-4C9E-89AF-5C3784564831}">
  <dimension ref="A1:L18"/>
  <sheetViews>
    <sheetView workbookViewId="0">
      <selection activeCell="I9" sqref="I9:K18"/>
    </sheetView>
  </sheetViews>
  <sheetFormatPr baseColWidth="10" defaultColWidth="8.88671875" defaultRowHeight="14.4" x14ac:dyDescent="0.3"/>
  <cols>
    <col min="1" max="2" width="10.5546875" customWidth="1"/>
    <col min="3" max="3" width="73.88671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188</v>
      </c>
      <c r="E3" s="13" t="s">
        <v>188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4</v>
      </c>
      <c r="D5" s="12" t="s">
        <v>5</v>
      </c>
      <c r="E5" s="12" t="s">
        <v>6</v>
      </c>
    </row>
    <row r="6" spans="1:12" ht="15" customHeight="1" x14ac:dyDescent="0.3">
      <c r="C6" s="13" t="s">
        <v>7</v>
      </c>
      <c r="D6" s="13" t="s">
        <v>8</v>
      </c>
      <c r="E6" s="13" t="s">
        <v>189</v>
      </c>
    </row>
    <row r="7" spans="1:12" ht="13.95" customHeight="1" x14ac:dyDescent="0.3">
      <c r="A7" s="20" t="s">
        <v>190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191</v>
      </c>
    </row>
    <row r="8" spans="1:12" ht="19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13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</row>
    <row r="9" spans="1:12" ht="22.95" customHeight="1" x14ac:dyDescent="0.3">
      <c r="A9" s="15" t="s">
        <v>192</v>
      </c>
      <c r="B9" s="15" t="s">
        <v>192</v>
      </c>
      <c r="C9" s="13" t="s">
        <v>193</v>
      </c>
      <c r="D9" s="6">
        <v>2552.27</v>
      </c>
      <c r="E9" s="13" t="s">
        <v>22</v>
      </c>
      <c r="F9" s="16">
        <v>46049.88</v>
      </c>
      <c r="G9" s="13" t="s">
        <v>22</v>
      </c>
      <c r="H9" s="13" t="s">
        <v>23</v>
      </c>
      <c r="I9" s="13"/>
    </row>
    <row r="10" spans="1:12" ht="22.95" customHeight="1" x14ac:dyDescent="0.3">
      <c r="A10" s="15" t="s">
        <v>194</v>
      </c>
      <c r="B10" s="15" t="s">
        <v>194</v>
      </c>
      <c r="C10" s="13" t="s">
        <v>195</v>
      </c>
      <c r="D10" s="6">
        <v>7502</v>
      </c>
      <c r="E10" s="13" t="s">
        <v>22</v>
      </c>
      <c r="F10" s="16">
        <v>43497.61</v>
      </c>
      <c r="G10" s="13" t="s">
        <v>22</v>
      </c>
      <c r="H10" s="13" t="s">
        <v>23</v>
      </c>
      <c r="I10" s="13"/>
    </row>
    <row r="11" spans="1:12" ht="22.95" customHeight="1" x14ac:dyDescent="0.3">
      <c r="A11" s="15" t="s">
        <v>194</v>
      </c>
      <c r="B11" s="15" t="s">
        <v>194</v>
      </c>
      <c r="C11" s="13" t="s">
        <v>196</v>
      </c>
      <c r="D11" s="6">
        <v>2541</v>
      </c>
      <c r="E11" s="13" t="s">
        <v>22</v>
      </c>
      <c r="F11" s="16">
        <v>35995.61</v>
      </c>
      <c r="G11" s="13" t="s">
        <v>22</v>
      </c>
      <c r="H11" s="13" t="s">
        <v>23</v>
      </c>
      <c r="I11" s="13"/>
    </row>
    <row r="12" spans="1:12" ht="22.95" customHeight="1" x14ac:dyDescent="0.3">
      <c r="A12" s="15" t="s">
        <v>197</v>
      </c>
      <c r="B12" s="15" t="s">
        <v>197</v>
      </c>
      <c r="C12" s="13" t="s">
        <v>198</v>
      </c>
      <c r="D12" s="6">
        <v>1815</v>
      </c>
      <c r="E12" s="13" t="s">
        <v>22</v>
      </c>
      <c r="F12" s="16">
        <v>33454.61</v>
      </c>
      <c r="G12" s="13" t="s">
        <v>22</v>
      </c>
      <c r="H12" s="13" t="s">
        <v>23</v>
      </c>
      <c r="I12" s="13"/>
    </row>
    <row r="13" spans="1:12" ht="22.95" customHeight="1" x14ac:dyDescent="0.3">
      <c r="A13" s="15" t="s">
        <v>199</v>
      </c>
      <c r="B13" s="15" t="s">
        <v>199</v>
      </c>
      <c r="C13" s="13" t="s">
        <v>200</v>
      </c>
      <c r="D13" s="6">
        <v>2886.4</v>
      </c>
      <c r="E13" s="13" t="s">
        <v>22</v>
      </c>
      <c r="F13" s="16">
        <v>31639.61</v>
      </c>
      <c r="G13" s="13" t="s">
        <v>22</v>
      </c>
      <c r="H13" s="13" t="s">
        <v>23</v>
      </c>
      <c r="I13" s="13"/>
    </row>
    <row r="14" spans="1:12" ht="22.95" customHeight="1" x14ac:dyDescent="0.3">
      <c r="A14" s="15" t="s">
        <v>201</v>
      </c>
      <c r="B14" s="15" t="s">
        <v>201</v>
      </c>
      <c r="C14" s="13" t="s">
        <v>202</v>
      </c>
      <c r="D14" s="6">
        <v>5577.27</v>
      </c>
      <c r="E14" s="13" t="s">
        <v>22</v>
      </c>
      <c r="F14" s="16">
        <v>28753.21</v>
      </c>
      <c r="G14" s="13" t="s">
        <v>22</v>
      </c>
      <c r="H14" s="13" t="s">
        <v>23</v>
      </c>
      <c r="I14" s="13"/>
    </row>
    <row r="15" spans="1:12" ht="22.95" customHeight="1" x14ac:dyDescent="0.3">
      <c r="A15" s="15" t="s">
        <v>203</v>
      </c>
      <c r="B15" s="15" t="s">
        <v>204</v>
      </c>
      <c r="C15" s="13" t="s">
        <v>40</v>
      </c>
      <c r="D15" s="6">
        <v>-4467.12</v>
      </c>
      <c r="E15" s="13" t="s">
        <v>22</v>
      </c>
      <c r="F15" s="16">
        <v>23175.94</v>
      </c>
      <c r="G15" s="13" t="s">
        <v>22</v>
      </c>
      <c r="H15" s="13" t="s">
        <v>41</v>
      </c>
      <c r="I15" s="13"/>
    </row>
    <row r="16" spans="1:12" ht="22.95" customHeight="1" x14ac:dyDescent="0.3">
      <c r="A16" s="15" t="s">
        <v>205</v>
      </c>
      <c r="B16" s="15" t="s">
        <v>205</v>
      </c>
      <c r="C16" s="13" t="s">
        <v>206</v>
      </c>
      <c r="D16" s="6">
        <v>2238.5</v>
      </c>
      <c r="E16" s="13" t="s">
        <v>22</v>
      </c>
      <c r="F16" s="16">
        <v>27643.06</v>
      </c>
      <c r="G16" s="13" t="s">
        <v>22</v>
      </c>
      <c r="H16" s="13" t="s">
        <v>23</v>
      </c>
      <c r="I16" s="13"/>
    </row>
    <row r="17" spans="1:9" ht="22.95" customHeight="1" x14ac:dyDescent="0.3">
      <c r="A17" s="15" t="s">
        <v>207</v>
      </c>
      <c r="B17" s="15" t="s">
        <v>207</v>
      </c>
      <c r="C17" s="13" t="s">
        <v>208</v>
      </c>
      <c r="D17" s="6">
        <v>12303.42</v>
      </c>
      <c r="E17" s="13" t="s">
        <v>22</v>
      </c>
      <c r="F17" s="16">
        <v>25404.560000000001</v>
      </c>
      <c r="G17" s="13" t="s">
        <v>22</v>
      </c>
      <c r="H17" s="13" t="s">
        <v>23</v>
      </c>
      <c r="I17" s="13"/>
    </row>
    <row r="18" spans="1:9" ht="22.95" customHeight="1" x14ac:dyDescent="0.3">
      <c r="A18" s="15" t="s">
        <v>209</v>
      </c>
      <c r="B18" s="15" t="s">
        <v>210</v>
      </c>
      <c r="C18" s="13" t="s">
        <v>65</v>
      </c>
      <c r="D18" s="6">
        <v>-90</v>
      </c>
      <c r="E18" s="13" t="s">
        <v>22</v>
      </c>
      <c r="F18" s="16">
        <v>13101.14</v>
      </c>
      <c r="G18" s="13" t="s">
        <v>22</v>
      </c>
      <c r="H18" s="13" t="s">
        <v>41</v>
      </c>
      <c r="I18" s="13"/>
    </row>
  </sheetData>
  <mergeCells count="3">
    <mergeCell ref="A1:B5"/>
    <mergeCell ref="A7:C7"/>
    <mergeCell ref="D7:J7"/>
  </mergeCells>
  <conditionalFormatting sqref="D9:D18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38AD-17BE-4370-BEE0-E069B8A7B9BE}">
  <dimension ref="A1:L21"/>
  <sheetViews>
    <sheetView topLeftCell="A7" workbookViewId="0">
      <selection activeCell="I9" sqref="I9:J21"/>
    </sheetView>
  </sheetViews>
  <sheetFormatPr baseColWidth="10" defaultColWidth="8.88671875" defaultRowHeight="14.4" x14ac:dyDescent="0.3"/>
  <cols>
    <col min="1" max="2" width="10.5546875" customWidth="1"/>
    <col min="3" max="3" width="68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211</v>
      </c>
      <c r="E3" s="13" t="s">
        <v>211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4</v>
      </c>
      <c r="D5" s="12" t="s">
        <v>5</v>
      </c>
      <c r="E5" s="12" t="s">
        <v>6</v>
      </c>
    </row>
    <row r="6" spans="1:12" ht="15" customHeight="1" x14ac:dyDescent="0.3">
      <c r="C6" s="13" t="s">
        <v>7</v>
      </c>
      <c r="D6" s="13" t="s">
        <v>8</v>
      </c>
      <c r="E6" s="13" t="s">
        <v>212</v>
      </c>
    </row>
    <row r="7" spans="1:12" ht="13.95" customHeight="1" x14ac:dyDescent="0.3">
      <c r="A7" s="20" t="s">
        <v>213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214</v>
      </c>
    </row>
    <row r="8" spans="1:12" ht="19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13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</row>
    <row r="9" spans="1:12" ht="22.95" customHeight="1" x14ac:dyDescent="0.3">
      <c r="A9" s="15" t="s">
        <v>215</v>
      </c>
      <c r="B9" s="15" t="s">
        <v>215</v>
      </c>
      <c r="C9" s="13" t="s">
        <v>216</v>
      </c>
      <c r="D9" s="6">
        <v>3446.76</v>
      </c>
      <c r="E9" s="13" t="s">
        <v>22</v>
      </c>
      <c r="F9" s="16">
        <v>7746.19</v>
      </c>
      <c r="G9" s="13" t="s">
        <v>22</v>
      </c>
      <c r="H9" s="13" t="s">
        <v>23</v>
      </c>
      <c r="I9" s="13" t="s">
        <v>24</v>
      </c>
      <c r="J9" s="13"/>
    </row>
    <row r="10" spans="1:12" ht="22.95" customHeight="1" x14ac:dyDescent="0.3">
      <c r="A10" s="15" t="s">
        <v>217</v>
      </c>
      <c r="B10" s="15" t="s">
        <v>217</v>
      </c>
      <c r="C10" s="13" t="s">
        <v>218</v>
      </c>
      <c r="D10" s="6">
        <v>2889.48</v>
      </c>
      <c r="E10" s="13" t="s">
        <v>22</v>
      </c>
      <c r="F10" s="16">
        <v>4299.43</v>
      </c>
      <c r="G10" s="13" t="s">
        <v>22</v>
      </c>
      <c r="H10" s="13" t="s">
        <v>23</v>
      </c>
      <c r="I10" s="13" t="s">
        <v>24</v>
      </c>
      <c r="J10" s="13"/>
    </row>
    <row r="11" spans="1:12" ht="22.95" customHeight="1" x14ac:dyDescent="0.3">
      <c r="A11" s="15" t="s">
        <v>219</v>
      </c>
      <c r="B11" s="15" t="s">
        <v>219</v>
      </c>
      <c r="C11" s="13" t="s">
        <v>220</v>
      </c>
      <c r="D11" s="6">
        <v>-2400</v>
      </c>
      <c r="E11" s="13" t="s">
        <v>22</v>
      </c>
      <c r="F11" s="16">
        <v>1409.95</v>
      </c>
      <c r="G11" s="13" t="s">
        <v>22</v>
      </c>
      <c r="H11" s="13" t="s">
        <v>29</v>
      </c>
      <c r="I11" s="13" t="s">
        <v>24</v>
      </c>
      <c r="J11" s="13"/>
    </row>
    <row r="12" spans="1:12" ht="22.95" customHeight="1" x14ac:dyDescent="0.3">
      <c r="A12" s="15" t="s">
        <v>219</v>
      </c>
      <c r="B12" s="15" t="s">
        <v>219</v>
      </c>
      <c r="C12" s="13" t="s">
        <v>221</v>
      </c>
      <c r="D12" s="6">
        <v>2541</v>
      </c>
      <c r="E12" s="13" t="s">
        <v>22</v>
      </c>
      <c r="F12" s="16">
        <v>3809.95</v>
      </c>
      <c r="G12" s="13" t="s">
        <v>22</v>
      </c>
      <c r="H12" s="13" t="s">
        <v>23</v>
      </c>
      <c r="I12" s="13" t="s">
        <v>24</v>
      </c>
      <c r="J12" s="13"/>
    </row>
    <row r="13" spans="1:12" ht="22.95" customHeight="1" x14ac:dyDescent="0.3">
      <c r="A13" s="15" t="s">
        <v>222</v>
      </c>
      <c r="B13" s="15" t="s">
        <v>222</v>
      </c>
      <c r="C13" s="13" t="s">
        <v>223</v>
      </c>
      <c r="D13" s="6">
        <v>-15000</v>
      </c>
      <c r="E13" s="13" t="s">
        <v>22</v>
      </c>
      <c r="F13" s="16">
        <v>1268.95</v>
      </c>
      <c r="G13" s="13" t="s">
        <v>22</v>
      </c>
      <c r="H13" s="13" t="s">
        <v>29</v>
      </c>
      <c r="I13" s="13" t="s">
        <v>24</v>
      </c>
      <c r="J13" s="13"/>
    </row>
    <row r="14" spans="1:12" ht="22.95" customHeight="1" x14ac:dyDescent="0.3">
      <c r="A14" s="15" t="s">
        <v>222</v>
      </c>
      <c r="B14" s="15" t="s">
        <v>222</v>
      </c>
      <c r="C14" s="13" t="s">
        <v>224</v>
      </c>
      <c r="D14" s="6">
        <v>10000</v>
      </c>
      <c r="E14" s="13" t="s">
        <v>22</v>
      </c>
      <c r="F14" s="16">
        <v>16268.95</v>
      </c>
      <c r="G14" s="13" t="s">
        <v>22</v>
      </c>
      <c r="H14" s="13" t="s">
        <v>23</v>
      </c>
      <c r="I14" s="13" t="s">
        <v>24</v>
      </c>
      <c r="J14" s="13"/>
    </row>
    <row r="15" spans="1:12" ht="22.95" customHeight="1" x14ac:dyDescent="0.3">
      <c r="A15" s="15" t="s">
        <v>222</v>
      </c>
      <c r="B15" s="15" t="s">
        <v>222</v>
      </c>
      <c r="C15" s="13" t="s">
        <v>225</v>
      </c>
      <c r="D15" s="6">
        <v>2000</v>
      </c>
      <c r="E15" s="13" t="s">
        <v>22</v>
      </c>
      <c r="F15" s="16">
        <v>6268.95</v>
      </c>
      <c r="G15" s="13" t="s">
        <v>22</v>
      </c>
      <c r="H15" s="13" t="s">
        <v>23</v>
      </c>
      <c r="I15" s="13" t="s">
        <v>24</v>
      </c>
      <c r="J15" s="13"/>
    </row>
    <row r="16" spans="1:12" ht="22.95" customHeight="1" x14ac:dyDescent="0.3">
      <c r="A16" s="15" t="s">
        <v>226</v>
      </c>
      <c r="B16" s="15" t="s">
        <v>226</v>
      </c>
      <c r="C16" s="13" t="s">
        <v>227</v>
      </c>
      <c r="D16" s="6">
        <v>907.5</v>
      </c>
      <c r="E16" s="13" t="s">
        <v>22</v>
      </c>
      <c r="F16" s="16">
        <v>4268.95</v>
      </c>
      <c r="G16" s="13" t="s">
        <v>22</v>
      </c>
      <c r="H16" s="13" t="s">
        <v>23</v>
      </c>
      <c r="I16" s="13" t="s">
        <v>24</v>
      </c>
      <c r="J16" s="13"/>
    </row>
    <row r="17" spans="1:10" ht="22.95" customHeight="1" x14ac:dyDescent="0.3">
      <c r="A17" s="15" t="s">
        <v>228</v>
      </c>
      <c r="B17" s="15" t="s">
        <v>228</v>
      </c>
      <c r="C17" s="13" t="s">
        <v>229</v>
      </c>
      <c r="D17" s="6">
        <v>1443.2</v>
      </c>
      <c r="E17" s="13" t="s">
        <v>22</v>
      </c>
      <c r="F17" s="16">
        <v>3361.45</v>
      </c>
      <c r="G17" s="13" t="s">
        <v>22</v>
      </c>
      <c r="H17" s="13" t="s">
        <v>23</v>
      </c>
      <c r="I17" s="13" t="s">
        <v>24</v>
      </c>
      <c r="J17" s="13"/>
    </row>
    <row r="18" spans="1:10" ht="22.95" customHeight="1" x14ac:dyDescent="0.3">
      <c r="A18" s="15" t="s">
        <v>230</v>
      </c>
      <c r="B18" s="15" t="s">
        <v>230</v>
      </c>
      <c r="C18" s="13" t="s">
        <v>231</v>
      </c>
      <c r="D18" s="6">
        <v>-50000</v>
      </c>
      <c r="E18" s="13" t="s">
        <v>22</v>
      </c>
      <c r="F18" s="16">
        <v>1918.25</v>
      </c>
      <c r="G18" s="13" t="s">
        <v>22</v>
      </c>
      <c r="H18" s="13" t="s">
        <v>29</v>
      </c>
      <c r="I18" s="13" t="s">
        <v>24</v>
      </c>
      <c r="J18" s="13"/>
    </row>
    <row r="19" spans="1:10" ht="22.95" customHeight="1" x14ac:dyDescent="0.3">
      <c r="A19" s="15" t="s">
        <v>232</v>
      </c>
      <c r="B19" s="15" t="s">
        <v>232</v>
      </c>
      <c r="C19" s="13" t="s">
        <v>233</v>
      </c>
      <c r="D19" s="6">
        <v>9445.5300000000007</v>
      </c>
      <c r="E19" s="13" t="s">
        <v>22</v>
      </c>
      <c r="F19" s="16">
        <v>51918.25</v>
      </c>
      <c r="G19" s="13" t="s">
        <v>22</v>
      </c>
      <c r="H19" s="13" t="s">
        <v>23</v>
      </c>
      <c r="I19" s="13" t="s">
        <v>24</v>
      </c>
      <c r="J19" s="13"/>
    </row>
    <row r="20" spans="1:10" ht="22.95" customHeight="1" x14ac:dyDescent="0.3">
      <c r="A20" s="15" t="s">
        <v>232</v>
      </c>
      <c r="B20" s="15" t="s">
        <v>232</v>
      </c>
      <c r="C20" s="13" t="s">
        <v>40</v>
      </c>
      <c r="D20" s="6">
        <v>-4467.12</v>
      </c>
      <c r="E20" s="13" t="s">
        <v>22</v>
      </c>
      <c r="F20" s="16">
        <v>42472.72</v>
      </c>
      <c r="G20" s="13" t="s">
        <v>22</v>
      </c>
      <c r="H20" s="13" t="s">
        <v>41</v>
      </c>
      <c r="I20" s="13" t="s">
        <v>24</v>
      </c>
      <c r="J20" s="13"/>
    </row>
    <row r="21" spans="1:10" ht="22.95" customHeight="1" x14ac:dyDescent="0.3">
      <c r="A21" s="15" t="s">
        <v>234</v>
      </c>
      <c r="B21" s="15" t="s">
        <v>234</v>
      </c>
      <c r="C21" s="13" t="s">
        <v>235</v>
      </c>
      <c r="D21" s="6">
        <v>-4000</v>
      </c>
      <c r="E21" s="13" t="s">
        <v>22</v>
      </c>
      <c r="F21" s="16">
        <v>46939.839999999997</v>
      </c>
      <c r="G21" s="13" t="s">
        <v>22</v>
      </c>
      <c r="H21" s="13" t="s">
        <v>29</v>
      </c>
      <c r="I21" s="13" t="s">
        <v>24</v>
      </c>
      <c r="J21" s="13"/>
    </row>
  </sheetData>
  <mergeCells count="3">
    <mergeCell ref="A1:B5"/>
    <mergeCell ref="A7:C7"/>
    <mergeCell ref="D7:J7"/>
  </mergeCells>
  <conditionalFormatting sqref="D9:D21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082C-DA5E-466A-B24A-2E11B2C8E6F5}">
  <dimension ref="A1:L18"/>
  <sheetViews>
    <sheetView workbookViewId="0">
      <selection activeCell="I9" sqref="I9:K18"/>
    </sheetView>
  </sheetViews>
  <sheetFormatPr baseColWidth="10" defaultColWidth="8.88671875" defaultRowHeight="14.4" x14ac:dyDescent="0.3"/>
  <cols>
    <col min="1" max="2" width="10.5546875" customWidth="1"/>
    <col min="3" max="3" width="65.66406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10" width="15.33203125" bestFit="1" customWidth="1"/>
    <col min="11" max="11" width="15.77734375" bestFit="1" customWidth="1"/>
    <col min="12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258</v>
      </c>
      <c r="E3" s="13" t="s">
        <v>258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4</v>
      </c>
      <c r="D5" s="12" t="s">
        <v>5</v>
      </c>
      <c r="E5" s="12" t="s">
        <v>6</v>
      </c>
    </row>
    <row r="6" spans="1:12" ht="15" customHeight="1" x14ac:dyDescent="0.3">
      <c r="C6" s="13" t="s">
        <v>7</v>
      </c>
      <c r="D6" s="13" t="s">
        <v>8</v>
      </c>
      <c r="E6" s="13" t="s">
        <v>257</v>
      </c>
    </row>
    <row r="7" spans="1:12" ht="13.95" customHeight="1" x14ac:dyDescent="0.3">
      <c r="A7" s="20" t="s">
        <v>256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255</v>
      </c>
    </row>
    <row r="8" spans="1:12" ht="19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13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</row>
    <row r="9" spans="1:12" ht="22.95" customHeight="1" x14ac:dyDescent="0.3">
      <c r="A9" s="15" t="s">
        <v>254</v>
      </c>
      <c r="B9" s="15" t="s">
        <v>254</v>
      </c>
      <c r="C9" s="13" t="s">
        <v>253</v>
      </c>
      <c r="D9" s="6">
        <v>3446.76</v>
      </c>
      <c r="E9" s="13" t="s">
        <v>22</v>
      </c>
      <c r="F9" s="16">
        <v>7910.35</v>
      </c>
      <c r="G9" s="13" t="s">
        <v>22</v>
      </c>
      <c r="H9" s="13" t="s">
        <v>23</v>
      </c>
      <c r="I9" s="13"/>
    </row>
    <row r="10" spans="1:12" ht="22.95" customHeight="1" x14ac:dyDescent="0.3">
      <c r="A10" s="15" t="s">
        <v>252</v>
      </c>
      <c r="B10" s="15" t="s">
        <v>252</v>
      </c>
      <c r="C10" s="13" t="s">
        <v>251</v>
      </c>
      <c r="D10" s="6">
        <v>2541</v>
      </c>
      <c r="E10" s="13" t="s">
        <v>22</v>
      </c>
      <c r="F10" s="16">
        <v>4463.59</v>
      </c>
      <c r="G10" s="13" t="s">
        <v>22</v>
      </c>
      <c r="H10" s="13" t="s">
        <v>23</v>
      </c>
      <c r="I10" s="13"/>
    </row>
    <row r="11" spans="1:12" ht="22.95" customHeight="1" x14ac:dyDescent="0.3">
      <c r="A11" s="15" t="s">
        <v>250</v>
      </c>
      <c r="B11" s="15" t="s">
        <v>250</v>
      </c>
      <c r="C11" s="13" t="s">
        <v>249</v>
      </c>
      <c r="D11" s="6">
        <v>907.5</v>
      </c>
      <c r="E11" s="13" t="s">
        <v>22</v>
      </c>
      <c r="F11" s="16">
        <v>1922.59</v>
      </c>
      <c r="G11" s="13" t="s">
        <v>22</v>
      </c>
      <c r="H11" s="13" t="s">
        <v>23</v>
      </c>
      <c r="I11" s="13"/>
    </row>
    <row r="12" spans="1:12" ht="22.95" customHeight="1" x14ac:dyDescent="0.3">
      <c r="A12" s="15" t="s">
        <v>247</v>
      </c>
      <c r="B12" s="15" t="s">
        <v>247</v>
      </c>
      <c r="C12" s="13" t="s">
        <v>248</v>
      </c>
      <c r="D12" s="6">
        <v>-25000</v>
      </c>
      <c r="E12" s="13" t="s">
        <v>22</v>
      </c>
      <c r="F12" s="16">
        <v>1015.09</v>
      </c>
      <c r="G12" s="13" t="s">
        <v>22</v>
      </c>
      <c r="H12" s="13" t="s">
        <v>29</v>
      </c>
      <c r="I12" s="13"/>
    </row>
    <row r="13" spans="1:12" ht="22.95" customHeight="1" x14ac:dyDescent="0.3">
      <c r="A13" s="15" t="s">
        <v>247</v>
      </c>
      <c r="B13" s="15" t="s">
        <v>247</v>
      </c>
      <c r="C13" s="13" t="s">
        <v>246</v>
      </c>
      <c r="D13" s="6">
        <v>2000</v>
      </c>
      <c r="E13" s="13" t="s">
        <v>22</v>
      </c>
      <c r="F13" s="16">
        <v>26015.09</v>
      </c>
      <c r="G13" s="13" t="s">
        <v>22</v>
      </c>
      <c r="H13" s="13" t="s">
        <v>23</v>
      </c>
      <c r="I13" s="13"/>
    </row>
    <row r="14" spans="1:12" ht="22.95" customHeight="1" x14ac:dyDescent="0.3">
      <c r="A14" s="15" t="s">
        <v>245</v>
      </c>
      <c r="B14" s="15" t="s">
        <v>245</v>
      </c>
      <c r="C14" s="13" t="s">
        <v>244</v>
      </c>
      <c r="D14" s="6">
        <v>2552.27</v>
      </c>
      <c r="E14" s="13" t="s">
        <v>22</v>
      </c>
      <c r="F14" s="16">
        <v>24015.09</v>
      </c>
      <c r="G14" s="13" t="s">
        <v>22</v>
      </c>
      <c r="H14" s="13" t="s">
        <v>23</v>
      </c>
      <c r="I14" s="13"/>
    </row>
    <row r="15" spans="1:12" ht="22.95" customHeight="1" x14ac:dyDescent="0.3">
      <c r="A15" s="15" t="s">
        <v>243</v>
      </c>
      <c r="B15" s="15" t="s">
        <v>243</v>
      </c>
      <c r="C15" s="13" t="s">
        <v>242</v>
      </c>
      <c r="D15" s="6">
        <v>1443.2</v>
      </c>
      <c r="E15" s="13" t="s">
        <v>22</v>
      </c>
      <c r="F15" s="16">
        <v>21462.82</v>
      </c>
      <c r="G15" s="13" t="s">
        <v>22</v>
      </c>
      <c r="H15" s="13" t="s">
        <v>23</v>
      </c>
      <c r="I15" s="13"/>
    </row>
    <row r="16" spans="1:12" ht="22.95" customHeight="1" x14ac:dyDescent="0.3">
      <c r="A16" s="15" t="s">
        <v>241</v>
      </c>
      <c r="B16" s="15" t="s">
        <v>241</v>
      </c>
      <c r="C16" s="13" t="s">
        <v>240</v>
      </c>
      <c r="D16" s="6">
        <v>17092.8</v>
      </c>
      <c r="E16" s="13" t="s">
        <v>22</v>
      </c>
      <c r="F16" s="16">
        <v>20019.62</v>
      </c>
      <c r="G16" s="13" t="s">
        <v>22</v>
      </c>
      <c r="H16" s="13" t="s">
        <v>23</v>
      </c>
      <c r="I16" s="13"/>
    </row>
    <row r="17" spans="1:9" ht="22.95" customHeight="1" x14ac:dyDescent="0.3">
      <c r="A17" s="15" t="s">
        <v>239</v>
      </c>
      <c r="B17" s="15" t="s">
        <v>239</v>
      </c>
      <c r="C17" s="13" t="s">
        <v>40</v>
      </c>
      <c r="D17" s="6">
        <v>-4467.12</v>
      </c>
      <c r="E17" s="13" t="s">
        <v>22</v>
      </c>
      <c r="F17" s="16">
        <v>2926.82</v>
      </c>
      <c r="G17" s="13" t="s">
        <v>22</v>
      </c>
      <c r="H17" s="13" t="s">
        <v>41</v>
      </c>
      <c r="I17" s="13"/>
    </row>
    <row r="18" spans="1:9" ht="22.95" customHeight="1" x14ac:dyDescent="0.3">
      <c r="A18" s="15" t="s">
        <v>238</v>
      </c>
      <c r="B18" s="15" t="s">
        <v>238</v>
      </c>
      <c r="C18" s="13" t="s">
        <v>237</v>
      </c>
      <c r="D18" s="6">
        <v>-352.25</v>
      </c>
      <c r="E18" s="13" t="s">
        <v>22</v>
      </c>
      <c r="F18" s="16">
        <v>7393.94</v>
      </c>
      <c r="G18" s="13" t="s">
        <v>22</v>
      </c>
      <c r="H18" s="13" t="s">
        <v>236</v>
      </c>
      <c r="I18" s="13"/>
    </row>
  </sheetData>
  <mergeCells count="3">
    <mergeCell ref="A1:B5"/>
    <mergeCell ref="A7:C7"/>
    <mergeCell ref="D7:J7"/>
  </mergeCells>
  <conditionalFormatting sqref="D9:D18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E3F4-C9A8-48DB-B245-29405567FFC4}">
  <dimension ref="A1:L19"/>
  <sheetViews>
    <sheetView tabSelected="1" topLeftCell="A4" workbookViewId="0">
      <selection activeCell="I9" sqref="I9:J21"/>
    </sheetView>
  </sheetViews>
  <sheetFormatPr baseColWidth="10" defaultColWidth="8.88671875" defaultRowHeight="14.4" x14ac:dyDescent="0.3"/>
  <cols>
    <col min="1" max="2" width="10.5546875" customWidth="1"/>
    <col min="3" max="3" width="63.66406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2" t="s">
        <v>0</v>
      </c>
      <c r="D2" s="12" t="s">
        <v>1</v>
      </c>
      <c r="E2" s="12" t="s">
        <v>2</v>
      </c>
    </row>
    <row r="3" spans="1:12" ht="16.05" customHeight="1" x14ac:dyDescent="0.3">
      <c r="A3" s="17"/>
      <c r="B3" s="17"/>
      <c r="C3" s="13" t="s">
        <v>3</v>
      </c>
      <c r="D3" s="13" t="s">
        <v>282</v>
      </c>
      <c r="E3" s="13" t="s">
        <v>282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2" t="s">
        <v>4</v>
      </c>
      <c r="D5" s="12" t="s">
        <v>5</v>
      </c>
      <c r="E5" s="12" t="s">
        <v>6</v>
      </c>
    </row>
    <row r="6" spans="1:12" ht="15" customHeight="1" x14ac:dyDescent="0.3">
      <c r="C6" s="13" t="s">
        <v>7</v>
      </c>
      <c r="D6" s="13" t="s">
        <v>8</v>
      </c>
      <c r="E6" s="13" t="s">
        <v>282</v>
      </c>
    </row>
    <row r="7" spans="1:12" ht="13.95" customHeight="1" x14ac:dyDescent="0.3">
      <c r="A7" s="20" t="s">
        <v>281</v>
      </c>
      <c r="B7" s="17"/>
      <c r="C7" s="17"/>
      <c r="D7" s="17"/>
      <c r="E7" s="17"/>
      <c r="F7" s="17"/>
      <c r="G7" s="17"/>
      <c r="H7" s="17"/>
      <c r="I7" s="17"/>
      <c r="J7" s="17"/>
      <c r="K7" s="13" t="s">
        <v>280</v>
      </c>
    </row>
    <row r="8" spans="1:12" ht="19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13</v>
      </c>
      <c r="H8" s="14" t="s">
        <v>15</v>
      </c>
      <c r="I8" s="14" t="s">
        <v>16</v>
      </c>
      <c r="J8" s="14" t="s">
        <v>17</v>
      </c>
      <c r="K8" s="14" t="s">
        <v>18</v>
      </c>
      <c r="L8" s="14" t="s">
        <v>19</v>
      </c>
    </row>
    <row r="9" spans="1:12" ht="22.95" customHeight="1" x14ac:dyDescent="0.3">
      <c r="A9" s="15" t="s">
        <v>279</v>
      </c>
      <c r="B9" s="15" t="s">
        <v>279</v>
      </c>
      <c r="C9" s="13" t="s">
        <v>278</v>
      </c>
      <c r="D9" s="6">
        <v>3446.76</v>
      </c>
      <c r="E9" s="13" t="s">
        <v>22</v>
      </c>
      <c r="F9" s="16">
        <v>16762</v>
      </c>
      <c r="G9" s="13" t="s">
        <v>22</v>
      </c>
      <c r="H9" s="13" t="s">
        <v>23</v>
      </c>
      <c r="I9" s="13" t="s">
        <v>24</v>
      </c>
      <c r="J9" s="13"/>
    </row>
    <row r="10" spans="1:12" ht="22.95" customHeight="1" x14ac:dyDescent="0.3">
      <c r="A10" s="15" t="s">
        <v>275</v>
      </c>
      <c r="B10" s="15" t="s">
        <v>275</v>
      </c>
      <c r="C10" s="13" t="s">
        <v>277</v>
      </c>
      <c r="D10" s="6">
        <v>9530.4500000000007</v>
      </c>
      <c r="E10" s="13" t="s">
        <v>22</v>
      </c>
      <c r="F10" s="16">
        <v>13315.24</v>
      </c>
      <c r="G10" s="13" t="s">
        <v>22</v>
      </c>
      <c r="H10" s="13" t="s">
        <v>23</v>
      </c>
      <c r="I10" s="13" t="s">
        <v>24</v>
      </c>
      <c r="J10" s="13"/>
    </row>
    <row r="11" spans="1:12" ht="22.95" customHeight="1" x14ac:dyDescent="0.3">
      <c r="A11" s="15" t="s">
        <v>276</v>
      </c>
      <c r="B11" s="15" t="s">
        <v>275</v>
      </c>
      <c r="C11" s="13" t="s">
        <v>274</v>
      </c>
      <c r="D11" s="6">
        <v>2541</v>
      </c>
      <c r="E11" s="13" t="s">
        <v>22</v>
      </c>
      <c r="F11" s="16">
        <v>3784.79</v>
      </c>
      <c r="G11" s="13" t="s">
        <v>22</v>
      </c>
      <c r="H11" s="13" t="s">
        <v>23</v>
      </c>
      <c r="I11" s="13" t="s">
        <v>24</v>
      </c>
      <c r="J11" s="13"/>
    </row>
    <row r="12" spans="1:12" ht="22.95" customHeight="1" x14ac:dyDescent="0.3">
      <c r="A12" s="15" t="s">
        <v>273</v>
      </c>
      <c r="B12" s="15" t="s">
        <v>273</v>
      </c>
      <c r="C12" s="13" t="s">
        <v>272</v>
      </c>
      <c r="D12" s="6">
        <v>907.5</v>
      </c>
      <c r="E12" s="13" t="s">
        <v>22</v>
      </c>
      <c r="F12" s="16">
        <v>1243.79</v>
      </c>
      <c r="G12" s="13" t="s">
        <v>22</v>
      </c>
      <c r="H12" s="13" t="s">
        <v>23</v>
      </c>
      <c r="I12" s="13" t="s">
        <v>24</v>
      </c>
      <c r="J12" s="13"/>
    </row>
    <row r="13" spans="1:12" ht="22.95" customHeight="1" x14ac:dyDescent="0.3">
      <c r="A13" s="15" t="s">
        <v>270</v>
      </c>
      <c r="B13" s="15" t="s">
        <v>270</v>
      </c>
      <c r="C13" s="13" t="s">
        <v>271</v>
      </c>
      <c r="D13" s="6">
        <v>-4000</v>
      </c>
      <c r="E13" s="13" t="s">
        <v>22</v>
      </c>
      <c r="F13" s="16">
        <v>336.29</v>
      </c>
      <c r="G13" s="13" t="s">
        <v>22</v>
      </c>
      <c r="H13" s="13" t="s">
        <v>29</v>
      </c>
      <c r="I13" s="13" t="s">
        <v>24</v>
      </c>
      <c r="J13" s="13"/>
    </row>
    <row r="14" spans="1:12" ht="22.95" customHeight="1" x14ac:dyDescent="0.3">
      <c r="A14" s="15" t="s">
        <v>270</v>
      </c>
      <c r="B14" s="15" t="s">
        <v>270</v>
      </c>
      <c r="C14" s="13" t="s">
        <v>269</v>
      </c>
      <c r="D14" s="6">
        <v>2552.27</v>
      </c>
      <c r="E14" s="13" t="s">
        <v>22</v>
      </c>
      <c r="F14" s="16">
        <v>4336.29</v>
      </c>
      <c r="G14" s="13" t="s">
        <v>22</v>
      </c>
      <c r="H14" s="13" t="s">
        <v>23</v>
      </c>
      <c r="I14" s="13" t="s">
        <v>24</v>
      </c>
      <c r="J14" s="13"/>
    </row>
    <row r="15" spans="1:12" ht="22.95" customHeight="1" x14ac:dyDescent="0.3">
      <c r="A15" s="15" t="s">
        <v>267</v>
      </c>
      <c r="B15" s="15" t="s">
        <v>267</v>
      </c>
      <c r="C15" s="13" t="s">
        <v>268</v>
      </c>
      <c r="D15" s="6">
        <v>-20000</v>
      </c>
      <c r="E15" s="13" t="s">
        <v>22</v>
      </c>
      <c r="F15" s="16">
        <v>1784.02</v>
      </c>
      <c r="G15" s="13" t="s">
        <v>22</v>
      </c>
      <c r="H15" s="13" t="s">
        <v>29</v>
      </c>
      <c r="I15" s="13" t="s">
        <v>24</v>
      </c>
      <c r="J15" s="13"/>
    </row>
    <row r="16" spans="1:12" ht="22.95" customHeight="1" x14ac:dyDescent="0.3">
      <c r="A16" s="15" t="s">
        <v>267</v>
      </c>
      <c r="B16" s="15" t="s">
        <v>266</v>
      </c>
      <c r="C16" s="13" t="s">
        <v>40</v>
      </c>
      <c r="D16" s="6">
        <v>-4467.12</v>
      </c>
      <c r="E16" s="13" t="s">
        <v>22</v>
      </c>
      <c r="F16" s="16">
        <v>21784.02</v>
      </c>
      <c r="G16" s="13" t="s">
        <v>22</v>
      </c>
      <c r="H16" s="13" t="s">
        <v>41</v>
      </c>
      <c r="I16" s="13" t="s">
        <v>24</v>
      </c>
      <c r="J16" s="13"/>
    </row>
    <row r="17" spans="1:10" ht="22.95" customHeight="1" x14ac:dyDescent="0.3">
      <c r="A17" s="15" t="s">
        <v>265</v>
      </c>
      <c r="B17" s="15" t="s">
        <v>264</v>
      </c>
      <c r="C17" s="13" t="s">
        <v>263</v>
      </c>
      <c r="D17" s="6">
        <v>9000</v>
      </c>
      <c r="E17" s="13" t="s">
        <v>22</v>
      </c>
      <c r="F17" s="16">
        <v>26251.14</v>
      </c>
      <c r="G17" s="13" t="s">
        <v>22</v>
      </c>
      <c r="H17" s="13" t="s">
        <v>23</v>
      </c>
      <c r="I17" s="13" t="s">
        <v>24</v>
      </c>
      <c r="J17" s="13"/>
    </row>
    <row r="18" spans="1:10" ht="22.95" customHeight="1" x14ac:dyDescent="0.3">
      <c r="A18" s="15" t="s">
        <v>262</v>
      </c>
      <c r="B18" s="15" t="s">
        <v>261</v>
      </c>
      <c r="C18" s="13" t="s">
        <v>65</v>
      </c>
      <c r="D18" s="6">
        <v>-90</v>
      </c>
      <c r="E18" s="13" t="s">
        <v>22</v>
      </c>
      <c r="F18" s="16">
        <v>17251.14</v>
      </c>
      <c r="G18" s="13" t="s">
        <v>22</v>
      </c>
      <c r="H18" s="13" t="s">
        <v>41</v>
      </c>
      <c r="I18" s="13" t="s">
        <v>24</v>
      </c>
      <c r="J18" s="13"/>
    </row>
    <row r="19" spans="1:10" ht="22.95" customHeight="1" x14ac:dyDescent="0.3">
      <c r="A19" s="15" t="s">
        <v>260</v>
      </c>
      <c r="B19" s="15" t="s">
        <v>260</v>
      </c>
      <c r="C19" s="13" t="s">
        <v>259</v>
      </c>
      <c r="D19" s="6">
        <v>9430.7900000000009</v>
      </c>
      <c r="E19" s="13" t="s">
        <v>22</v>
      </c>
      <c r="F19" s="16">
        <v>17341.14</v>
      </c>
      <c r="G19" s="13" t="s">
        <v>22</v>
      </c>
      <c r="H19" s="13" t="s">
        <v>23</v>
      </c>
      <c r="I19" s="13" t="s">
        <v>24</v>
      </c>
      <c r="J19" s="13"/>
    </row>
  </sheetData>
  <mergeCells count="3">
    <mergeCell ref="A1:B5"/>
    <mergeCell ref="A7:C7"/>
    <mergeCell ref="D7:J7"/>
  </mergeCells>
  <conditionalFormatting sqref="D9:D1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 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2025-03-06T15:16:32Z</dcterms:created>
  <dcterms:modified xsi:type="dcterms:W3CDTF">2026-02-25T08:53:50Z</dcterms:modified>
</cp:coreProperties>
</file>