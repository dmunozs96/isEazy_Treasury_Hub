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6.Contabilidad/11. Auditorias/2025 - EY/Extractos bancarios - 13/BancaMarch/"/>
    </mc:Choice>
  </mc:AlternateContent>
  <xr:revisionPtr revIDLastSave="126" documentId="8_{46557FF5-B577-4D1A-9B2B-97EFEBE753A2}" xr6:coauthVersionLast="47" xr6:coauthVersionMax="47" xr10:uidLastSave="{4BA90321-9EB8-446A-B2DA-9B743AF8763E}"/>
  <bookViews>
    <workbookView xWindow="28680" yWindow="-30" windowWidth="29040" windowHeight="15720" xr2:uid="{00000000-000D-0000-FFFF-FFFF00000000}"/>
  </bookViews>
  <sheets>
    <sheet name="ENERO" sheetId="1" r:id="rId1"/>
    <sheet name="FEBRERO" sheetId="2" r:id="rId2"/>
    <sheet name="MARZO" sheetId="3" r:id="rId3"/>
    <sheet name="ABRIL" sheetId="7" r:id="rId4"/>
    <sheet name="MAYO" sheetId="9" r:id="rId5"/>
    <sheet name="JUNIO" sheetId="10" r:id="rId6"/>
    <sheet name="JULIO" sheetId="11" r:id="rId7"/>
    <sheet name="AGOSTO" sheetId="12" r:id="rId8"/>
    <sheet name="SEPTIEMBRE" sheetId="13" r:id="rId9"/>
    <sheet name="OCTUBRE" sheetId="14" r:id="rId10"/>
    <sheet name="NOVIEMBRE" sheetId="15" r:id="rId11"/>
    <sheet name="DICIEMBRE" sheetId="16" r:id="rId12"/>
  </sheets>
  <definedNames>
    <definedName name="_xlnm._FilterDatabase" localSheetId="3" hidden="1">ABRIL!$A$4:$G$4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<sst xmlns="http://schemas.openxmlformats.org/spreadsheetml/2006/main" count="497" uniqueCount="185">
  <si>
    <t/>
  </si>
  <si>
    <t>ES37 0061 0376 3800 1489 0116 - ISEAZY SKILLS SL</t>
  </si>
  <si>
    <t>F. operación</t>
  </si>
  <si>
    <t>F. valor</t>
  </si>
  <si>
    <t>Oficina</t>
  </si>
  <si>
    <t>Concepto</t>
  </si>
  <si>
    <t>Concepto ordenante</t>
  </si>
  <si>
    <t>Importe</t>
  </si>
  <si>
    <t>Saldo</t>
  </si>
  <si>
    <t>0515</t>
  </si>
  <si>
    <t>LIQU.PTMO. 0376 0050769.051.4</t>
  </si>
  <si>
    <t>0521</t>
  </si>
  <si>
    <t>LIQUID.PROPIA CUENTA</t>
  </si>
  <si>
    <t>31/12</t>
  </si>
  <si>
    <t>01/01/2025</t>
  </si>
  <si>
    <t>03/01/2025</t>
  </si>
  <si>
    <t>03/01</t>
  </si>
  <si>
    <t>AB.TR.SEPA 00064516184 GES SEGUROS Y REAS</t>
  </si>
  <si>
    <t>24/01/2025</t>
  </si>
  <si>
    <t>24/01</t>
  </si>
  <si>
    <t>AB.TR.SEPA 00064904744 MACPUAR S.A. FINAN</t>
  </si>
  <si>
    <t>29/01/2025</t>
  </si>
  <si>
    <t>29/01</t>
  </si>
  <si>
    <t>AB.TR.SEPA 00065000817 ISEAZY SKILLS SL</t>
  </si>
  <si>
    <t>TRASPASO LIQUIDEZ A BT BMARCH POR BT IB</t>
  </si>
  <si>
    <t>01/02/2025</t>
  </si>
  <si>
    <t>31/01</t>
  </si>
  <si>
    <t>TRANSFER. BANCA MARCH,S.A.</t>
  </si>
  <si>
    <t>0518</t>
  </si>
  <si>
    <t>28/02</t>
  </si>
  <si>
    <t>28/02/2025</t>
  </si>
  <si>
    <t>Fatt. Nr. F.BT.20Fatt. Nr. F.BT.20</t>
  </si>
  <si>
    <t>AB.TR.SEPA 00065649598 GRUPO J. URIACH S.</t>
  </si>
  <si>
    <t>27/02</t>
  </si>
  <si>
    <t>27/02/2025</t>
  </si>
  <si>
    <t>TRASPASO LIQUIDEZ A BT BMARCH DE BT IB</t>
  </si>
  <si>
    <t>AB.TR.SEPA 00065615409 ISEAZY SKILLS SL</t>
  </si>
  <si>
    <t>26/02</t>
  </si>
  <si>
    <t>26/02/2025</t>
  </si>
  <si>
    <t>29/03</t>
  </si>
  <si>
    <t>29/03/2025</t>
  </si>
  <si>
    <t>AB.TR.SEPA 00066283087 ISEAZY SKILLS SL</t>
  </si>
  <si>
    <t>27/03</t>
  </si>
  <si>
    <t>27/03/2025</t>
  </si>
  <si>
    <t>01/03/2025</t>
  </si>
  <si>
    <t>31/03</t>
  </si>
  <si>
    <t>01/04/2025</t>
  </si>
  <si>
    <t>Traspaso liquidez a BT RURALVIA de BT CAJAMAR</t>
  </si>
  <si>
    <t>AD.TRANSF.INMEDIATA 00066989922 ISEAZY SK</t>
  </si>
  <si>
    <t>0600</t>
  </si>
  <si>
    <t>28/04</t>
  </si>
  <si>
    <t>28/04/2025</t>
  </si>
  <si>
    <t>30/04</t>
  </si>
  <si>
    <t>30/04/2025</t>
  </si>
  <si>
    <t>AB.TR.SEPA 00067081224 ISEAZY SKILLS SL</t>
  </si>
  <si>
    <t>29/04</t>
  </si>
  <si>
    <t>29/04/2025</t>
  </si>
  <si>
    <t>PRESTAMO PARTICIPATIVO A BT BMARCH DE BPO</t>
  </si>
  <si>
    <t>TRASPASO BIZPILLS GROUP BPO SL</t>
  </si>
  <si>
    <t>29/05</t>
  </si>
  <si>
    <t>29/05/2025</t>
  </si>
  <si>
    <t>TRASPASO LIQUIDEZ A BT BKR DE BT IB</t>
  </si>
  <si>
    <t>AB.TR.SEPA 00067774284 ISEAZY SKILLS SL</t>
  </si>
  <si>
    <t>AB.TR.SEPA 00067774283 ISEAZY FACTORY SL</t>
  </si>
  <si>
    <t>Traspaso liquidez a BT BMARCH de BT SCH</t>
  </si>
  <si>
    <t>AB.TR.SEPA 00067772108 ISEAZY SKILLS SL</t>
  </si>
  <si>
    <t>01/05/2025</t>
  </si>
  <si>
    <t>Fecha de 01/05/2025 hasta 31/05/2025</t>
  </si>
  <si>
    <t>29/06</t>
  </si>
  <si>
    <t>29/06/2025</t>
  </si>
  <si>
    <t>AB.TR.SEPA 00068460066 ISEAZY SKILLS SL</t>
  </si>
  <si>
    <t>25/06</t>
  </si>
  <si>
    <t>25/06/2025</t>
  </si>
  <si>
    <t>PAGO FRA. N. 2025,0014</t>
  </si>
  <si>
    <t>AB.TR.SEPA 00068202322 CARCAMOVIL S.R.L.</t>
  </si>
  <si>
    <t>12/06</t>
  </si>
  <si>
    <t>12/06/2025</t>
  </si>
  <si>
    <t>PAGO FRA.N. 2025.0036</t>
  </si>
  <si>
    <t>AB.TR.SEPA 00068202321 CARCAMOVIL S.R.L.</t>
  </si>
  <si>
    <t>PAGO FRA. N. 2025.0066</t>
  </si>
  <si>
    <t>AB.TR.SEPA 00068202320 CARCAMOVIL S.R.L.</t>
  </si>
  <si>
    <t>PAGO FRA. N. 2025.0101</t>
  </si>
  <si>
    <t>AB.TR.SEPA 00068202319 CARCAMOVIL S.R.L.</t>
  </si>
  <si>
    <t>PAGO FRA. N. 2025.0113</t>
  </si>
  <si>
    <t>AB.TR.SEPA 00068202318 CARCAMOVIL S.R.L.</t>
  </si>
  <si>
    <t>PAGO FRA. N. 2025.0135</t>
  </si>
  <si>
    <t>AB.TR.SEPA 00068202317 CARCAMOVIL S.R.L.</t>
  </si>
  <si>
    <t>31/05</t>
  </si>
  <si>
    <t>01/06/2025</t>
  </si>
  <si>
    <t>Fecha de 01/06/2025 hasta 30/06/2025</t>
  </si>
  <si>
    <t>Cuentas a la vista - Extracto de movimientos - jue, 31 jul 2025, 13:05 CET</t>
  </si>
  <si>
    <t>01/07/2025</t>
  </si>
  <si>
    <t>30/06</t>
  </si>
  <si>
    <t>03/07/2025</t>
  </si>
  <si>
    <t>03/07</t>
  </si>
  <si>
    <t>AB.TR.SEPA 00068773032 MAC PUAR S.A.</t>
  </si>
  <si>
    <t>10/07/2025</t>
  </si>
  <si>
    <t>10/07</t>
  </si>
  <si>
    <t>AB.TR.SEPA 00068952223 CARCAMOVIL S.R.L.</t>
  </si>
  <si>
    <t>PAGO FRA. N. 2025-0160</t>
  </si>
  <si>
    <t>28/07/2025</t>
  </si>
  <si>
    <t>28/07</t>
  </si>
  <si>
    <t>TRANSF.INM 00069325357 ISEAZY SKILLS SL</t>
  </si>
  <si>
    <t>Traspaso liquidez a BT BMARCH de BT IB</t>
  </si>
  <si>
    <t>29/07/2025</t>
  </si>
  <si>
    <t>29/07</t>
  </si>
  <si>
    <t>31/07/2025</t>
  </si>
  <si>
    <t>31/07</t>
  </si>
  <si>
    <t>AD.TRANSF.INMEDIATA 00069446671 ISEAZY SK</t>
  </si>
  <si>
    <t>Traspaso liquidez a BT BBVA de BT BMARCH</t>
  </si>
  <si>
    <t>29/08</t>
  </si>
  <si>
    <t>29/08/2025</t>
  </si>
  <si>
    <t>AB.TR.SEPA 00069951318 ISEAZY SKILLS SL</t>
  </si>
  <si>
    <t>25/08</t>
  </si>
  <si>
    <t>25/08/2025</t>
  </si>
  <si>
    <t>PAGO FRA. N. F.BT.2025,0189</t>
  </si>
  <si>
    <t>AB.TR.SEPA 00069785075 CARCAMOVIL S.R.L.</t>
  </si>
  <si>
    <t>13/08</t>
  </si>
  <si>
    <t>13/08/2025</t>
  </si>
  <si>
    <t>PAGO F.IZY.2025.0409 CARITAS PAGADA POR ER</t>
  </si>
  <si>
    <t>TRASPASO ISEAZY SL</t>
  </si>
  <si>
    <t>01/08</t>
  </si>
  <si>
    <t>01/08/2025</t>
  </si>
  <si>
    <t>PAGO F.OKN.2025.0744 CARITAS PAGADA POR ER</t>
  </si>
  <si>
    <t>TRASPASO ISEAZY LMS SL</t>
  </si>
  <si>
    <t>F.OKN.2025.0744, Efecto LG251811/1 F.OKN.2025.0744</t>
  </si>
  <si>
    <t>AB.TR.SEPA 00069487813 CARITAS ESPANOLA</t>
  </si>
  <si>
    <t>F.IZY.2025.0409, Efecto LG251795/1 F.IZY.2025.0409</t>
  </si>
  <si>
    <t>AB.TR.SEPA 00069487812 CARITAS ESPANOLA</t>
  </si>
  <si>
    <t>F.BT.2025.0153, Efecto LG251794/1 F.BT.2025.0153 I</t>
  </si>
  <si>
    <t>AB.TR.SEPA 00069487811 CARITAS ESPANOLA</t>
  </si>
  <si>
    <t>Banca March S.A. - https://telemarch.bancamarch.es</t>
  </si>
  <si>
    <t>Cuentas a la vista - Extracto de movimientos - mar, 30 sept 2025, 09:15 CET</t>
  </si>
  <si>
    <t>Últimos movimientos</t>
  </si>
  <si>
    <t>Saldo actual: 869,45 € Retenciones: 0,00 € Saldo disponible: 869,45 €</t>
  </si>
  <si>
    <t>01/09/2025</t>
  </si>
  <si>
    <t>31/08</t>
  </si>
  <si>
    <t>18/09/2025</t>
  </si>
  <si>
    <t>18/09</t>
  </si>
  <si>
    <t>AB.TR.SEPA 00070599905 CARCAMOVIL S.R.L.</t>
  </si>
  <si>
    <t>PAGO FRA. N.  2025,0201</t>
  </si>
  <si>
    <t>26/09/2025</t>
  </si>
  <si>
    <t>26/09</t>
  </si>
  <si>
    <t>AB.TR.SEPA 00070776028 ISEAZY SKILLS SL</t>
  </si>
  <si>
    <t>29/09/2025</t>
  </si>
  <si>
    <t>29/09</t>
  </si>
  <si>
    <t>Cuentas a la vista - Extracto de movimientos - vie, 14 nov 2025, 12:06 CET</t>
  </si>
  <si>
    <t>Saldo actual: 2.098,20 € Retenciones: 0,00 € Saldo disponible: 2.098,20 €</t>
  </si>
  <si>
    <t>01/10/25</t>
  </si>
  <si>
    <t>30/09/25</t>
  </si>
  <si>
    <t>28/10/25</t>
  </si>
  <si>
    <t>AB.TR.SEPA 00071537797 ISEAZY SKILLS SL</t>
  </si>
  <si>
    <t>TRASPASO LIQUIDEZ A BT BMARCH DE BT RURALVIA</t>
  </si>
  <si>
    <t>29/10/25</t>
  </si>
  <si>
    <t>01/11/25</t>
  </si>
  <si>
    <t>31/10/25</t>
  </si>
  <si>
    <t>29/11/25</t>
  </si>
  <si>
    <t>AB.TR.SEPA 00072233871 ISEAZY SKILLS SL</t>
  </si>
  <si>
    <t>25/11/25</t>
  </si>
  <si>
    <t>PAGO FRA. N. 2025,0278</t>
  </si>
  <si>
    <t>AB.TR.SEPA 00072044479 CARCAMOVIL S.R.L.</t>
  </si>
  <si>
    <t>14/11/25</t>
  </si>
  <si>
    <t>Saldo actual: 876,53 € Retenciones: 0,00 € Saldo disponible: 876,53 €</t>
  </si>
  <si>
    <t>Fecha de 01/11/2025 hasta 30/11/2025</t>
  </si>
  <si>
    <t>Cuentas a la vista - Extracto de movimientos - mié, 03 dic 2025, 16:58 CET</t>
  </si>
  <si>
    <t>Cuentas a la vista - Extracto de movimientos - jue, 08 ene 2026, 09:07 CET</t>
  </si>
  <si>
    <t>Saldo actual: 17.942,13 € Retenciones: 0,00 € Saldo disponible: 17.942,13 €</t>
  </si>
  <si>
    <t>01/12/25</t>
  </si>
  <si>
    <t>30/11/25</t>
  </si>
  <si>
    <t>22/12/25</t>
  </si>
  <si>
    <t>AB.TR.SEPA 00072944508 CAIXABANK, S.A.</t>
  </si>
  <si>
    <t>PAGO DE FACTURAS DEL CLIENTE NORTEGAS ENERGIA DIST</t>
  </si>
  <si>
    <t>AB.TR.SEPA 00072944509 CAIXABANK, S.A.</t>
  </si>
  <si>
    <t>PAGO DE FACTURAS DEL CLIENTE NED ESPANA DISTRIBUCI</t>
  </si>
  <si>
    <t>AB.TR.SEPA 00072944510 CAIXABANK, S.A.</t>
  </si>
  <si>
    <t>PAGO DE FACTURAS DEL CLIENTE NORTEGAS GREEN ENERGY</t>
  </si>
  <si>
    <t>23/12/25</t>
  </si>
  <si>
    <t>AB.TR.SEPA 00072973577 BANCO BILBAO VIZCA</t>
  </si>
  <si>
    <t>PAGO VENCIMIENTO CONFIRMING DE      NORTEGAS ENERG</t>
  </si>
  <si>
    <t>AB.TR.SEPA 00072973578 BANCO BILBAO VIZCA</t>
  </si>
  <si>
    <t>PAGO VENCIMIENTO CONFIRMING DE      NORBIOGAS RENO</t>
  </si>
  <si>
    <t>24/12/25</t>
  </si>
  <si>
    <t>AB.TR.SEPA 00073006334 BIZPILLS GROUP BPO</t>
  </si>
  <si>
    <t>PReSTAMO PARTICIPATIVO A BT BMARCH DE BPO BBVA</t>
  </si>
  <si>
    <t>29/12/25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</si>
</sst>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€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E62F2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H1" sqref="H1:H1048576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5" width="38.796875" bestFit="1" customWidth="1"/>
    <col min="6" max="6" width="15.796875" customWidth="1"/>
  </cols>
  <sheetData>
    <row r="1" spans="1:7" x14ac:dyDescent="0.3">
      <c r="A1" t="s">
        <v>0</v>
      </c>
    </row>
    <row r="2" spans="1:7" s="2" customFormat="1" x14ac:dyDescent="0.3">
      <c r="A2" s="2" t="s">
        <v>1</v>
      </c>
    </row>
    <row r="4" spans="1:7" s="2" customForma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t="s">
        <v>14</v>
      </c>
      <c r="B5" t="s">
        <v>13</v>
      </c>
      <c r="C5" t="s">
        <v>11</v>
      </c>
      <c r="D5" t="s">
        <v>12</v>
      </c>
      <c r="E5" t="s">
        <v>0</v>
      </c>
      <c r="F5" s="3">
        <v>-10</v>
      </c>
      <c r="G5" s="1">
        <v>618.82000000000005</v>
      </c>
    </row>
    <row r="6" spans="1:7" x14ac:dyDescent="0.3">
      <c r="A6" t="s">
        <v>15</v>
      </c>
      <c r="B6" t="s">
        <v>16</v>
      </c>
      <c r="C6" t="s">
        <v>9</v>
      </c>
      <c r="D6" t="s">
        <v>17</v>
      </c>
      <c r="E6" t="s">
        <v>0</v>
      </c>
      <c r="F6" s="3">
        <v>13189</v>
      </c>
      <c r="G6" s="1">
        <v>13807.82</v>
      </c>
    </row>
    <row r="7" spans="1:7" x14ac:dyDescent="0.3">
      <c r="A7" t="s">
        <v>18</v>
      </c>
      <c r="B7" t="s">
        <v>19</v>
      </c>
      <c r="C7" t="s">
        <v>9</v>
      </c>
      <c r="D7" t="s">
        <v>20</v>
      </c>
      <c r="E7" t="s">
        <v>0</v>
      </c>
      <c r="F7" s="3">
        <v>3586.44</v>
      </c>
      <c r="G7" s="1">
        <v>17394.259999999998</v>
      </c>
    </row>
    <row r="8" spans="1:7" x14ac:dyDescent="0.3">
      <c r="A8" t="s">
        <v>21</v>
      </c>
      <c r="B8" t="s">
        <v>22</v>
      </c>
      <c r="C8" t="s">
        <v>9</v>
      </c>
      <c r="D8" t="s">
        <v>10</v>
      </c>
      <c r="E8" t="s">
        <v>0</v>
      </c>
      <c r="F8" s="3">
        <v>-17394.259999999998</v>
      </c>
      <c r="G8" s="1">
        <v>0</v>
      </c>
    </row>
    <row r="9" spans="1:7" x14ac:dyDescent="0.3">
      <c r="A9" t="s">
        <v>21</v>
      </c>
      <c r="B9" t="s">
        <v>22</v>
      </c>
      <c r="C9" t="s">
        <v>9</v>
      </c>
      <c r="D9" t="s">
        <v>23</v>
      </c>
      <c r="E9" t="s">
        <v>24</v>
      </c>
      <c r="F9" s="3">
        <v>1600</v>
      </c>
      <c r="G9" s="1">
        <v>1600</v>
      </c>
    </row>
    <row r="10" spans="1:7" x14ac:dyDescent="0.3">
      <c r="A10" t="s">
        <v>21</v>
      </c>
      <c r="B10" t="s">
        <v>22</v>
      </c>
      <c r="C10" t="s">
        <v>9</v>
      </c>
      <c r="D10" t="s">
        <v>10</v>
      </c>
      <c r="E10" t="s">
        <v>0</v>
      </c>
      <c r="F10" s="3">
        <v>-762.84</v>
      </c>
      <c r="G10" s="1">
        <v>837.16</v>
      </c>
    </row>
    <row r="11" spans="1:7" x14ac:dyDescent="0.3">
      <c r="A11" t="s">
        <v>0</v>
      </c>
    </row>
  </sheetData>
  <conditionalFormatting sqref="F5:F10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ignoredErrors>
    <ignoredError sqref="A1:G2 A5:G10 A4:G4 A11:G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08D0-AC98-43CC-B492-79FF140E47D6}">
  <dimension ref="A1:G10"/>
  <sheetViews>
    <sheetView workbookViewId="0">
      <selection activeCell="H1" sqref="H1:I1048576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40.59765625" customWidth="1"/>
    <col min="5" max="5" width="35.19921875" customWidth="1"/>
    <col min="6" max="6" width="15.796875" customWidth="1"/>
  </cols>
  <sheetData>
    <row r="1" spans="1:7" x14ac:dyDescent="0.3">
      <c r="A1" t="s">
        <v>0</v>
      </c>
    </row>
    <row r="2" spans="1:7" s="2" customFormat="1" x14ac:dyDescent="0.3">
      <c r="A2" s="2" t="s">
        <v>1</v>
      </c>
    </row>
    <row r="3" spans="1:7" s="2" customFormat="1" x14ac:dyDescent="0.3"/>
    <row r="4" spans="1:7" s="2" customForma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t="s">
        <v>25</v>
      </c>
      <c r="B5" t="s">
        <v>26</v>
      </c>
      <c r="C5" t="s">
        <v>11</v>
      </c>
      <c r="D5" t="s">
        <v>12</v>
      </c>
      <c r="E5" t="s">
        <v>0</v>
      </c>
      <c r="F5" s="3">
        <v>-10</v>
      </c>
      <c r="G5" s="1">
        <v>827.16</v>
      </c>
    </row>
    <row r="6" spans="1:7" x14ac:dyDescent="0.3">
      <c r="A6" t="s">
        <v>38</v>
      </c>
      <c r="B6" t="s">
        <v>37</v>
      </c>
      <c r="C6" t="s">
        <v>9</v>
      </c>
      <c r="D6" t="s">
        <v>36</v>
      </c>
      <c r="E6" t="s">
        <v>35</v>
      </c>
      <c r="F6" s="3">
        <v>20000</v>
      </c>
      <c r="G6" s="1">
        <v>20827.16</v>
      </c>
    </row>
    <row r="7" spans="1:7" x14ac:dyDescent="0.3">
      <c r="A7" t="s">
        <v>34</v>
      </c>
      <c r="B7" t="s">
        <v>33</v>
      </c>
      <c r="C7" t="s">
        <v>9</v>
      </c>
      <c r="D7" t="s">
        <v>32</v>
      </c>
      <c r="E7" t="s">
        <v>31</v>
      </c>
      <c r="F7" s="3">
        <v>3872</v>
      </c>
      <c r="G7" s="1">
        <v>24699.16</v>
      </c>
    </row>
    <row r="8" spans="1:7" x14ac:dyDescent="0.3">
      <c r="A8" t="s">
        <v>30</v>
      </c>
      <c r="B8" t="s">
        <v>29</v>
      </c>
      <c r="C8" t="s">
        <v>9</v>
      </c>
      <c r="D8" t="s">
        <v>10</v>
      </c>
      <c r="E8" t="s">
        <v>0</v>
      </c>
      <c r="F8" s="3">
        <v>-18157.099999999999</v>
      </c>
      <c r="G8" s="1">
        <v>6542.06</v>
      </c>
    </row>
    <row r="9" spans="1:7" x14ac:dyDescent="0.3">
      <c r="A9" t="s">
        <v>30</v>
      </c>
      <c r="B9" t="s">
        <v>29</v>
      </c>
      <c r="C9" t="s">
        <v>28</v>
      </c>
      <c r="D9" t="s">
        <v>27</v>
      </c>
      <c r="E9" t="s">
        <v>0</v>
      </c>
      <c r="F9" s="3">
        <v>5926.22</v>
      </c>
      <c r="G9" s="1">
        <v>12468.28</v>
      </c>
    </row>
    <row r="10" spans="1:7" x14ac:dyDescent="0.3">
      <c r="A10" t="s">
        <v>0</v>
      </c>
    </row>
  </sheetData>
  <conditionalFormatting sqref="F5:F9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92A3-1D28-401F-8DF9-9D2C083B2E6A}">
  <dimension ref="A1:G8"/>
  <sheetViews>
    <sheetView workbookViewId="0">
      <selection activeCell="C5" sqref="C5:C7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30.796875" customWidth="1"/>
    <col min="5" max="6" width="15.796875" customWidth="1"/>
  </cols>
  <sheetData>
    <row r="1" spans="1:7" x14ac:dyDescent="0.3">
      <c r="A1" t="s">
        <v>0</v>
      </c>
    </row>
    <row r="2" spans="1:7" s="2" customFormat="1" x14ac:dyDescent="0.3">
      <c r="A2" s="2" t="s">
        <v>1</v>
      </c>
    </row>
    <row r="4" spans="1:7" s="2" customForma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t="s">
        <v>44</v>
      </c>
      <c r="B5" t="s">
        <v>29</v>
      </c>
      <c r="C5" t="s">
        <v>11</v>
      </c>
      <c r="D5" t="s">
        <v>12</v>
      </c>
      <c r="E5" t="s">
        <v>0</v>
      </c>
      <c r="F5" s="3">
        <v>-10</v>
      </c>
      <c r="G5" s="1">
        <v>12458.28</v>
      </c>
    </row>
    <row r="6" spans="1:7" x14ac:dyDescent="0.3">
      <c r="A6" t="s">
        <v>43</v>
      </c>
      <c r="B6" t="s">
        <v>42</v>
      </c>
      <c r="C6" t="s">
        <v>9</v>
      </c>
      <c r="D6" t="s">
        <v>41</v>
      </c>
      <c r="E6" t="s">
        <v>35</v>
      </c>
      <c r="F6" s="3">
        <v>8000</v>
      </c>
      <c r="G6" s="1">
        <v>20458.28</v>
      </c>
    </row>
    <row r="7" spans="1:7" x14ac:dyDescent="0.3">
      <c r="A7" t="s">
        <v>40</v>
      </c>
      <c r="B7" t="s">
        <v>39</v>
      </c>
      <c r="C7" t="s">
        <v>9</v>
      </c>
      <c r="D7" t="s">
        <v>10</v>
      </c>
      <c r="E7" t="s">
        <v>0</v>
      </c>
      <c r="F7" s="3">
        <v>-18157.099999999999</v>
      </c>
      <c r="G7" s="1">
        <v>2301.1799999999998</v>
      </c>
    </row>
    <row r="8" spans="1:7" x14ac:dyDescent="0.3">
      <c r="A8" t="s">
        <v>0</v>
      </c>
    </row>
  </sheetData>
  <conditionalFormatting sqref="F5:F7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816A6-C882-495A-A511-6D0EAA42308C}">
  <dimension ref="A1:G12"/>
  <sheetViews>
    <sheetView workbookViewId="0">
      <selection activeCell="C5" sqref="C5:C11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0</v>
      </c>
    </row>
    <row r="2" spans="1:7" x14ac:dyDescent="0.3">
      <c r="A2" s="2" t="s">
        <v>1</v>
      </c>
      <c r="B2" s="2"/>
      <c r="C2" s="2"/>
      <c r="D2" s="2"/>
      <c r="E2" s="2"/>
      <c r="F2" s="2"/>
      <c r="G2" s="2"/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t="s">
        <v>46</v>
      </c>
      <c r="B5" t="s">
        <v>45</v>
      </c>
      <c r="C5" t="s">
        <v>11</v>
      </c>
      <c r="D5" t="s">
        <v>12</v>
      </c>
      <c r="E5" t="s">
        <v>0</v>
      </c>
      <c r="F5" s="3">
        <v>-10</v>
      </c>
      <c r="G5" s="1">
        <v>2291.1799999999998</v>
      </c>
    </row>
    <row r="6" spans="1:7" x14ac:dyDescent="0.3">
      <c r="A6" t="s">
        <v>51</v>
      </c>
      <c r="B6" t="s">
        <v>50</v>
      </c>
      <c r="C6" t="s">
        <v>49</v>
      </c>
      <c r="D6" t="s">
        <v>48</v>
      </c>
      <c r="E6" t="s">
        <v>47</v>
      </c>
      <c r="F6" s="3">
        <v>-2000</v>
      </c>
      <c r="G6" s="1">
        <v>291.18</v>
      </c>
    </row>
    <row r="7" spans="1:7" x14ac:dyDescent="0.3">
      <c r="A7" t="s">
        <v>56</v>
      </c>
      <c r="B7" t="s">
        <v>55</v>
      </c>
      <c r="C7" t="s">
        <v>9</v>
      </c>
      <c r="D7" t="s">
        <v>10</v>
      </c>
      <c r="E7" t="s">
        <v>0</v>
      </c>
      <c r="F7" s="3">
        <v>-291.18</v>
      </c>
      <c r="G7" s="1">
        <v>0</v>
      </c>
    </row>
    <row r="8" spans="1:7" x14ac:dyDescent="0.3">
      <c r="A8" t="s">
        <v>56</v>
      </c>
      <c r="B8" t="s">
        <v>55</v>
      </c>
      <c r="C8" t="s">
        <v>49</v>
      </c>
      <c r="D8" t="s">
        <v>58</v>
      </c>
      <c r="E8" t="s">
        <v>57</v>
      </c>
      <c r="F8" s="3">
        <v>14000</v>
      </c>
      <c r="G8" s="1">
        <v>14000</v>
      </c>
    </row>
    <row r="9" spans="1:7" x14ac:dyDescent="0.3">
      <c r="A9" t="s">
        <v>56</v>
      </c>
      <c r="B9" t="s">
        <v>55</v>
      </c>
      <c r="C9" t="s">
        <v>9</v>
      </c>
      <c r="D9" t="s">
        <v>10</v>
      </c>
      <c r="E9" t="s">
        <v>0</v>
      </c>
      <c r="F9" s="3">
        <v>-14000</v>
      </c>
      <c r="G9" s="1">
        <v>0</v>
      </c>
    </row>
    <row r="10" spans="1:7" x14ac:dyDescent="0.3">
      <c r="A10" t="s">
        <v>53</v>
      </c>
      <c r="B10" t="s">
        <v>52</v>
      </c>
      <c r="C10" t="s">
        <v>9</v>
      </c>
      <c r="D10" t="s">
        <v>54</v>
      </c>
      <c r="E10" t="s">
        <v>35</v>
      </c>
      <c r="F10" s="3">
        <v>4000</v>
      </c>
      <c r="G10" s="1">
        <v>4000</v>
      </c>
    </row>
    <row r="11" spans="1:7" x14ac:dyDescent="0.3">
      <c r="A11" t="s">
        <v>53</v>
      </c>
      <c r="B11" t="s">
        <v>52</v>
      </c>
      <c r="C11" t="s">
        <v>9</v>
      </c>
      <c r="D11" t="s">
        <v>10</v>
      </c>
      <c r="E11" t="s">
        <v>0</v>
      </c>
      <c r="F11" s="3">
        <v>-3868.82</v>
      </c>
      <c r="G11" s="1">
        <v>131.18</v>
      </c>
    </row>
    <row r="12" spans="1:7" x14ac:dyDescent="0.3">
      <c r="A12" t="s">
        <v>0</v>
      </c>
    </row>
  </sheetData>
  <autoFilter ref="A4:G4" xr:uid="{95E816A6-C882-495A-A511-6D0EAA42308C}"/>
  <conditionalFormatting sqref="F5:F11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D6F37-238E-4ACF-939A-BE90E1D7749B}">
  <dimension ref="A1:G13"/>
  <sheetViews>
    <sheetView workbookViewId="0">
      <selection activeCell="C7" sqref="C7:C12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0.796875" customWidth="1"/>
    <col min="5" max="6" width="15.796875" customWidth="1"/>
  </cols>
  <sheetData>
    <row r="1" spans="1:7" x14ac:dyDescent="0.3">
      <c r="A1" t="s">
        <v>0</v>
      </c>
    </row>
    <row r="2" spans="1:7" x14ac:dyDescent="0.3">
      <c r="A2" t="s">
        <v>67</v>
      </c>
    </row>
    <row r="3" spans="1:7" x14ac:dyDescent="0.3">
      <c r="A3" t="s">
        <v>0</v>
      </c>
    </row>
    <row r="4" spans="1:7" x14ac:dyDescent="0.3">
      <c r="A4" t="s">
        <v>1</v>
      </c>
    </row>
    <row r="6" spans="1:7" s="2" customFormat="1" x14ac:dyDescent="0.3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1:7" x14ac:dyDescent="0.3">
      <c r="A7" t="s">
        <v>66</v>
      </c>
      <c r="B7" t="s">
        <v>52</v>
      </c>
      <c r="C7" t="s">
        <v>11</v>
      </c>
      <c r="D7" t="s">
        <v>12</v>
      </c>
      <c r="E7" t="s">
        <v>0</v>
      </c>
      <c r="F7" s="3">
        <v>-10</v>
      </c>
      <c r="G7" s="1">
        <v>121.18</v>
      </c>
    </row>
    <row r="8" spans="1:7" x14ac:dyDescent="0.3">
      <c r="A8" t="s">
        <v>60</v>
      </c>
      <c r="B8" t="s">
        <v>59</v>
      </c>
      <c r="C8" t="s">
        <v>9</v>
      </c>
      <c r="D8" t="s">
        <v>65</v>
      </c>
      <c r="E8" t="s">
        <v>64</v>
      </c>
      <c r="F8" s="3">
        <v>3000</v>
      </c>
      <c r="G8" s="1">
        <v>3121.18</v>
      </c>
    </row>
    <row r="9" spans="1:7" x14ac:dyDescent="0.3">
      <c r="A9" t="s">
        <v>60</v>
      </c>
      <c r="B9" t="s">
        <v>59</v>
      </c>
      <c r="C9" t="s">
        <v>9</v>
      </c>
      <c r="D9" t="s">
        <v>10</v>
      </c>
      <c r="E9" t="s">
        <v>0</v>
      </c>
      <c r="F9" s="3">
        <v>-3121.18</v>
      </c>
      <c r="G9" s="1">
        <v>0</v>
      </c>
    </row>
    <row r="10" spans="1:7" x14ac:dyDescent="0.3">
      <c r="A10" t="s">
        <v>60</v>
      </c>
      <c r="B10" t="s">
        <v>59</v>
      </c>
      <c r="C10" t="s">
        <v>9</v>
      </c>
      <c r="D10" t="s">
        <v>63</v>
      </c>
      <c r="E10" t="s">
        <v>61</v>
      </c>
      <c r="F10" s="3">
        <v>7400</v>
      </c>
      <c r="G10" s="1">
        <v>7400</v>
      </c>
    </row>
    <row r="11" spans="1:7" x14ac:dyDescent="0.3">
      <c r="A11" t="s">
        <v>60</v>
      </c>
      <c r="B11" t="s">
        <v>59</v>
      </c>
      <c r="C11" t="s">
        <v>9</v>
      </c>
      <c r="D11" t="s">
        <v>62</v>
      </c>
      <c r="E11" t="s">
        <v>61</v>
      </c>
      <c r="F11" s="3">
        <v>8000</v>
      </c>
      <c r="G11" s="1">
        <v>15400</v>
      </c>
    </row>
    <row r="12" spans="1:7" x14ac:dyDescent="0.3">
      <c r="A12" t="s">
        <v>60</v>
      </c>
      <c r="B12" t="s">
        <v>59</v>
      </c>
      <c r="C12" t="s">
        <v>9</v>
      </c>
      <c r="D12" t="s">
        <v>10</v>
      </c>
      <c r="E12" t="s">
        <v>0</v>
      </c>
      <c r="F12" s="3">
        <v>-15035.92</v>
      </c>
      <c r="G12" s="1">
        <v>364.08</v>
      </c>
    </row>
    <row r="13" spans="1:7" x14ac:dyDescent="0.3">
      <c r="A13" t="s">
        <v>0</v>
      </c>
      <c r="F13" s="3"/>
    </row>
  </sheetData>
  <conditionalFormatting sqref="F7:F13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3816-3DC7-4E1C-BE5B-236713B09E7A}">
  <dimension ref="A1:G16"/>
  <sheetViews>
    <sheetView workbookViewId="0">
      <selection activeCell="H1" sqref="H1:H1048576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0.796875" customWidth="1"/>
    <col min="5" max="5" width="23.3984375" customWidth="1"/>
    <col min="6" max="6" width="15.796875" customWidth="1"/>
  </cols>
  <sheetData>
    <row r="1" spans="1:7" x14ac:dyDescent="0.3">
      <c r="A1" t="s">
        <v>0</v>
      </c>
    </row>
    <row r="2" spans="1:7" x14ac:dyDescent="0.3">
      <c r="A2" t="s">
        <v>89</v>
      </c>
    </row>
    <row r="3" spans="1:7" x14ac:dyDescent="0.3">
      <c r="A3" t="s">
        <v>0</v>
      </c>
    </row>
    <row r="4" spans="1:7" x14ac:dyDescent="0.3">
      <c r="A4" t="s">
        <v>1</v>
      </c>
    </row>
    <row r="6" spans="1:7" s="2" customFormat="1" x14ac:dyDescent="0.3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1:7" x14ac:dyDescent="0.3">
      <c r="A7" t="s">
        <v>88</v>
      </c>
      <c r="B7" t="s">
        <v>87</v>
      </c>
      <c r="C7" t="s">
        <v>11</v>
      </c>
      <c r="D7" t="s">
        <v>12</v>
      </c>
      <c r="E7" t="s">
        <v>0</v>
      </c>
      <c r="F7" s="3">
        <v>-10</v>
      </c>
      <c r="G7" s="1">
        <v>354.08</v>
      </c>
    </row>
    <row r="8" spans="1:7" x14ac:dyDescent="0.3">
      <c r="A8" t="s">
        <v>76</v>
      </c>
      <c r="B8" t="s">
        <v>75</v>
      </c>
      <c r="C8" t="s">
        <v>9</v>
      </c>
      <c r="D8" t="s">
        <v>86</v>
      </c>
      <c r="E8" t="s">
        <v>85</v>
      </c>
      <c r="F8" s="3">
        <v>1260.42</v>
      </c>
      <c r="G8" s="1">
        <v>1614.5</v>
      </c>
    </row>
    <row r="9" spans="1:7" x14ac:dyDescent="0.3">
      <c r="A9" t="s">
        <v>76</v>
      </c>
      <c r="B9" t="s">
        <v>75</v>
      </c>
      <c r="C9" t="s">
        <v>9</v>
      </c>
      <c r="D9" t="s">
        <v>84</v>
      </c>
      <c r="E9" t="s">
        <v>83</v>
      </c>
      <c r="F9" s="3">
        <v>1260.42</v>
      </c>
      <c r="G9" s="1">
        <v>2874.92</v>
      </c>
    </row>
    <row r="10" spans="1:7" x14ac:dyDescent="0.3">
      <c r="A10" t="s">
        <v>76</v>
      </c>
      <c r="B10" t="s">
        <v>75</v>
      </c>
      <c r="C10" t="s">
        <v>9</v>
      </c>
      <c r="D10" t="s">
        <v>82</v>
      </c>
      <c r="E10" t="s">
        <v>81</v>
      </c>
      <c r="F10" s="3">
        <v>1260.42</v>
      </c>
      <c r="G10" s="1">
        <v>4135.34</v>
      </c>
    </row>
    <row r="11" spans="1:7" x14ac:dyDescent="0.3">
      <c r="A11" t="s">
        <v>76</v>
      </c>
      <c r="B11" t="s">
        <v>75</v>
      </c>
      <c r="C11" t="s">
        <v>9</v>
      </c>
      <c r="D11" t="s">
        <v>80</v>
      </c>
      <c r="E11" t="s">
        <v>79</v>
      </c>
      <c r="F11" s="3">
        <v>1260.42</v>
      </c>
      <c r="G11" s="1">
        <v>5395.76</v>
      </c>
    </row>
    <row r="12" spans="1:7" x14ac:dyDescent="0.3">
      <c r="A12" t="s">
        <v>76</v>
      </c>
      <c r="B12" t="s">
        <v>75</v>
      </c>
      <c r="C12" t="s">
        <v>9</v>
      </c>
      <c r="D12" t="s">
        <v>78</v>
      </c>
      <c r="E12" t="s">
        <v>77</v>
      </c>
      <c r="F12" s="3">
        <v>1260.42</v>
      </c>
      <c r="G12" s="1">
        <v>6656.18</v>
      </c>
    </row>
    <row r="13" spans="1:7" x14ac:dyDescent="0.3">
      <c r="A13" t="s">
        <v>76</v>
      </c>
      <c r="B13" t="s">
        <v>75</v>
      </c>
      <c r="C13" t="s">
        <v>9</v>
      </c>
      <c r="D13" t="s">
        <v>74</v>
      </c>
      <c r="E13" t="s">
        <v>73</v>
      </c>
      <c r="F13" s="3">
        <v>1260.42</v>
      </c>
      <c r="G13" s="1">
        <v>7916.6</v>
      </c>
    </row>
    <row r="14" spans="1:7" x14ac:dyDescent="0.3">
      <c r="A14" t="s">
        <v>72</v>
      </c>
      <c r="B14" t="s">
        <v>71</v>
      </c>
      <c r="C14" t="s">
        <v>9</v>
      </c>
      <c r="D14" t="s">
        <v>70</v>
      </c>
      <c r="E14" t="s">
        <v>35</v>
      </c>
      <c r="F14" s="3">
        <v>12000</v>
      </c>
      <c r="G14" s="1">
        <v>19916.599999999999</v>
      </c>
    </row>
    <row r="15" spans="1:7" x14ac:dyDescent="0.3">
      <c r="A15" t="s">
        <v>69</v>
      </c>
      <c r="B15" t="s">
        <v>68</v>
      </c>
      <c r="C15" t="s">
        <v>9</v>
      </c>
      <c r="D15" t="s">
        <v>10</v>
      </c>
      <c r="E15" t="s">
        <v>0</v>
      </c>
      <c r="F15" s="3">
        <v>-18157.099999999999</v>
      </c>
      <c r="G15" s="1">
        <v>1759.5</v>
      </c>
    </row>
    <row r="16" spans="1:7" x14ac:dyDescent="0.3">
      <c r="A16" t="s">
        <v>0</v>
      </c>
      <c r="F16" s="3"/>
    </row>
  </sheetData>
  <conditionalFormatting sqref="F7:F16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0040-6CB3-4164-8E0A-3E00E029190C}">
  <dimension ref="A1:G13"/>
  <sheetViews>
    <sheetView workbookViewId="0">
      <selection activeCell="H1" sqref="H1:H1048576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39" customWidth="1"/>
    <col min="5" max="5" width="36.19921875" customWidth="1"/>
    <col min="6" max="6" width="15.796875" customWidth="1"/>
  </cols>
  <sheetData>
    <row r="1" spans="1:7" x14ac:dyDescent="0.3">
      <c r="A1" t="s">
        <v>90</v>
      </c>
    </row>
    <row r="2" spans="1:7" x14ac:dyDescent="0.3">
      <c r="A2" t="s">
        <v>0</v>
      </c>
    </row>
    <row r="3" spans="1:7" x14ac:dyDescent="0.3">
      <c r="A3" t="s">
        <v>0</v>
      </c>
    </row>
    <row r="4" spans="1:7" x14ac:dyDescent="0.3">
      <c r="A4" t="s">
        <v>1</v>
      </c>
    </row>
    <row r="6" spans="1:7" s="2" customFormat="1" x14ac:dyDescent="0.3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1:7" x14ac:dyDescent="0.3">
      <c r="A7" t="s">
        <v>91</v>
      </c>
      <c r="B7" t="s">
        <v>92</v>
      </c>
      <c r="C7" t="s">
        <v>11</v>
      </c>
      <c r="D7" t="s">
        <v>12</v>
      </c>
      <c r="E7" t="s">
        <v>0</v>
      </c>
      <c r="F7" s="3">
        <v>-10</v>
      </c>
      <c r="G7" s="1">
        <v>1749.5</v>
      </c>
    </row>
    <row r="8" spans="1:7" x14ac:dyDescent="0.3">
      <c r="A8" t="s">
        <v>93</v>
      </c>
      <c r="B8" t="s">
        <v>94</v>
      </c>
      <c r="C8" t="s">
        <v>9</v>
      </c>
      <c r="D8" t="s">
        <v>95</v>
      </c>
      <c r="E8" t="s">
        <v>0</v>
      </c>
      <c r="F8" s="3">
        <v>13189</v>
      </c>
      <c r="G8" s="1">
        <v>14938.5</v>
      </c>
    </row>
    <row r="9" spans="1:7" x14ac:dyDescent="0.3">
      <c r="A9" t="s">
        <v>96</v>
      </c>
      <c r="B9" t="s">
        <v>97</v>
      </c>
      <c r="C9" t="s">
        <v>9</v>
      </c>
      <c r="D9" t="s">
        <v>98</v>
      </c>
      <c r="E9" t="s">
        <v>99</v>
      </c>
      <c r="F9" s="3">
        <v>1260.42</v>
      </c>
      <c r="G9" s="1">
        <v>16198.92</v>
      </c>
    </row>
    <row r="10" spans="1:7" x14ac:dyDescent="0.3">
      <c r="A10" t="s">
        <v>100</v>
      </c>
      <c r="B10" t="s">
        <v>101</v>
      </c>
      <c r="C10" t="s">
        <v>9</v>
      </c>
      <c r="D10" t="s">
        <v>102</v>
      </c>
      <c r="E10" t="s">
        <v>103</v>
      </c>
      <c r="F10" s="3">
        <v>4000</v>
      </c>
      <c r="G10" s="1">
        <v>20198.919999999998</v>
      </c>
    </row>
    <row r="11" spans="1:7" x14ac:dyDescent="0.3">
      <c r="A11" t="s">
        <v>104</v>
      </c>
      <c r="B11" t="s">
        <v>105</v>
      </c>
      <c r="C11" t="s">
        <v>9</v>
      </c>
      <c r="D11" t="s">
        <v>10</v>
      </c>
      <c r="E11" t="s">
        <v>0</v>
      </c>
      <c r="F11" s="3">
        <v>-18011.669999999998</v>
      </c>
      <c r="G11" s="1">
        <v>2187.25</v>
      </c>
    </row>
    <row r="12" spans="1:7" x14ac:dyDescent="0.3">
      <c r="A12" t="s">
        <v>106</v>
      </c>
      <c r="B12" t="s">
        <v>107</v>
      </c>
      <c r="C12" t="s">
        <v>49</v>
      </c>
      <c r="D12" t="s">
        <v>108</v>
      </c>
      <c r="E12" t="s">
        <v>109</v>
      </c>
      <c r="F12" s="3">
        <v>-600</v>
      </c>
      <c r="G12" s="1">
        <v>1587.25</v>
      </c>
    </row>
    <row r="13" spans="1:7" x14ac:dyDescent="0.3">
      <c r="A13" t="s">
        <v>0</v>
      </c>
      <c r="F13" s="3"/>
    </row>
  </sheetData>
  <conditionalFormatting sqref="F7:F13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D1C6-0AC8-4730-884C-E4DB1523E6DE}">
  <dimension ref="A1:G15"/>
  <sheetViews>
    <sheetView workbookViewId="0">
      <selection activeCell="H1" sqref="H1:H1048576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38.796875" customWidth="1"/>
    <col min="5" max="5" width="42.5" customWidth="1"/>
    <col min="6" max="6" width="15.796875" customWidth="1"/>
  </cols>
  <sheetData>
    <row r="1" spans="1:7" x14ac:dyDescent="0.3">
      <c r="A1" t="s">
        <v>131</v>
      </c>
    </row>
    <row r="2" spans="1:7" x14ac:dyDescent="0.3">
      <c r="A2" t="s">
        <v>0</v>
      </c>
    </row>
    <row r="3" spans="1:7" s="2" customFormat="1" x14ac:dyDescent="0.3">
      <c r="A3" s="2" t="s">
        <v>1</v>
      </c>
    </row>
    <row r="4" spans="1:7" s="2" customFormat="1" x14ac:dyDescent="0.3"/>
    <row r="5" spans="1:7" s="2" customFormat="1" x14ac:dyDescent="0.3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1:7" x14ac:dyDescent="0.3">
      <c r="A6" t="s">
        <v>122</v>
      </c>
      <c r="B6" t="s">
        <v>107</v>
      </c>
      <c r="C6" t="s">
        <v>11</v>
      </c>
      <c r="D6" t="s">
        <v>12</v>
      </c>
      <c r="E6" t="s">
        <v>0</v>
      </c>
      <c r="F6" s="3">
        <v>-10</v>
      </c>
      <c r="G6" s="1">
        <v>1577.25</v>
      </c>
    </row>
    <row r="7" spans="1:7" x14ac:dyDescent="0.3">
      <c r="A7" t="s">
        <v>122</v>
      </c>
      <c r="B7" t="s">
        <v>121</v>
      </c>
      <c r="C7" t="s">
        <v>9</v>
      </c>
      <c r="D7" t="s">
        <v>130</v>
      </c>
      <c r="E7" t="s">
        <v>129</v>
      </c>
      <c r="F7" s="3">
        <v>10804.7</v>
      </c>
      <c r="G7" s="1">
        <v>12381.95</v>
      </c>
    </row>
    <row r="8" spans="1:7" x14ac:dyDescent="0.3">
      <c r="A8" t="s">
        <v>122</v>
      </c>
      <c r="B8" t="s">
        <v>121</v>
      </c>
      <c r="C8" t="s">
        <v>9</v>
      </c>
      <c r="D8" t="s">
        <v>128</v>
      </c>
      <c r="E8" t="s">
        <v>127</v>
      </c>
      <c r="F8" s="3">
        <v>2358.9</v>
      </c>
      <c r="G8" s="1">
        <v>14740.85</v>
      </c>
    </row>
    <row r="9" spans="1:7" x14ac:dyDescent="0.3">
      <c r="A9" t="s">
        <v>122</v>
      </c>
      <c r="B9" t="s">
        <v>121</v>
      </c>
      <c r="C9" t="s">
        <v>9</v>
      </c>
      <c r="D9" t="s">
        <v>126</v>
      </c>
      <c r="E9" t="s">
        <v>125</v>
      </c>
      <c r="F9" s="3">
        <v>13847.24</v>
      </c>
      <c r="G9" s="1">
        <v>28588.09</v>
      </c>
    </row>
    <row r="10" spans="1:7" x14ac:dyDescent="0.3">
      <c r="A10" t="s">
        <v>122</v>
      </c>
      <c r="B10" t="s">
        <v>121</v>
      </c>
      <c r="C10" t="s">
        <v>49</v>
      </c>
      <c r="D10" t="s">
        <v>124</v>
      </c>
      <c r="E10" t="s">
        <v>123</v>
      </c>
      <c r="F10" s="3">
        <v>-13847.24</v>
      </c>
      <c r="G10" s="1">
        <v>14740.85</v>
      </c>
    </row>
    <row r="11" spans="1:7" x14ac:dyDescent="0.3">
      <c r="A11" t="s">
        <v>122</v>
      </c>
      <c r="B11" t="s">
        <v>121</v>
      </c>
      <c r="C11" t="s">
        <v>49</v>
      </c>
      <c r="D11" t="s">
        <v>120</v>
      </c>
      <c r="E11" t="s">
        <v>119</v>
      </c>
      <c r="F11" s="3">
        <v>-2358.9</v>
      </c>
      <c r="G11" s="1">
        <v>12381.95</v>
      </c>
    </row>
    <row r="12" spans="1:7" x14ac:dyDescent="0.3">
      <c r="A12" t="s">
        <v>118</v>
      </c>
      <c r="B12" t="s">
        <v>117</v>
      </c>
      <c r="C12" t="s">
        <v>9</v>
      </c>
      <c r="D12" t="s">
        <v>116</v>
      </c>
      <c r="E12" t="s">
        <v>115</v>
      </c>
      <c r="F12" s="3">
        <v>1260.42</v>
      </c>
      <c r="G12" s="1">
        <v>13642.37</v>
      </c>
    </row>
    <row r="13" spans="1:7" x14ac:dyDescent="0.3">
      <c r="A13" t="s">
        <v>114</v>
      </c>
      <c r="B13" t="s">
        <v>113</v>
      </c>
      <c r="C13" t="s">
        <v>9</v>
      </c>
      <c r="D13" t="s">
        <v>112</v>
      </c>
      <c r="E13" t="s">
        <v>35</v>
      </c>
      <c r="F13" s="3">
        <v>6000</v>
      </c>
      <c r="G13" s="1">
        <v>19642.37</v>
      </c>
    </row>
    <row r="14" spans="1:7" x14ac:dyDescent="0.3">
      <c r="A14" t="s">
        <v>111</v>
      </c>
      <c r="B14" t="s">
        <v>110</v>
      </c>
      <c r="C14" t="s">
        <v>9</v>
      </c>
      <c r="D14" t="s">
        <v>10</v>
      </c>
      <c r="E14" t="s">
        <v>0</v>
      </c>
      <c r="F14" s="3">
        <v>-18011.669999999998</v>
      </c>
      <c r="G14" s="1">
        <v>1630.7</v>
      </c>
    </row>
    <row r="15" spans="1:7" x14ac:dyDescent="0.3">
      <c r="A15" t="s">
        <v>0</v>
      </c>
    </row>
  </sheetData>
  <conditionalFormatting sqref="F6:F14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867E-F684-46EC-A4A7-959997D6C36B}">
  <dimension ref="A1:G13"/>
  <sheetViews>
    <sheetView workbookViewId="0">
      <selection activeCell="H1" sqref="H1:H1048576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38.8984375" customWidth="1"/>
    <col min="5" max="5" width="35.09765625" customWidth="1"/>
    <col min="6" max="6" width="15.796875" customWidth="1"/>
  </cols>
  <sheetData>
    <row r="1" spans="1:7" x14ac:dyDescent="0.3">
      <c r="A1" t="s">
        <v>131</v>
      </c>
    </row>
    <row r="2" spans="1:7" x14ac:dyDescent="0.3">
      <c r="A2" t="s">
        <v>132</v>
      </c>
    </row>
    <row r="3" spans="1:7" x14ac:dyDescent="0.3">
      <c r="A3" t="s">
        <v>0</v>
      </c>
    </row>
    <row r="4" spans="1:7" x14ac:dyDescent="0.3">
      <c r="A4" t="s">
        <v>133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134</v>
      </c>
    </row>
    <row r="8" spans="1:7" x14ac:dyDescent="0.3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</row>
    <row r="9" spans="1:7" x14ac:dyDescent="0.3">
      <c r="A9" t="s">
        <v>135</v>
      </c>
      <c r="B9" t="s">
        <v>136</v>
      </c>
      <c r="C9" t="s">
        <v>11</v>
      </c>
      <c r="D9" t="s">
        <v>12</v>
      </c>
      <c r="E9" t="s">
        <v>0</v>
      </c>
      <c r="F9" s="3">
        <v>-10</v>
      </c>
      <c r="G9" s="1">
        <v>1620.7</v>
      </c>
    </row>
    <row r="10" spans="1:7" x14ac:dyDescent="0.3">
      <c r="A10" t="s">
        <v>137</v>
      </c>
      <c r="B10" t="s">
        <v>138</v>
      </c>
      <c r="C10" t="s">
        <v>9</v>
      </c>
      <c r="D10" t="s">
        <v>139</v>
      </c>
      <c r="E10" t="s">
        <v>140</v>
      </c>
      <c r="F10" s="3">
        <v>1260.42</v>
      </c>
      <c r="G10" s="1">
        <v>2881.12</v>
      </c>
    </row>
    <row r="11" spans="1:7" x14ac:dyDescent="0.3">
      <c r="A11" t="s">
        <v>141</v>
      </c>
      <c r="B11" t="s">
        <v>142</v>
      </c>
      <c r="C11" t="s">
        <v>9</v>
      </c>
      <c r="D11" t="s">
        <v>143</v>
      </c>
      <c r="E11" t="s">
        <v>35</v>
      </c>
      <c r="F11" s="3">
        <v>16000</v>
      </c>
      <c r="G11" s="1">
        <v>18881.12</v>
      </c>
    </row>
    <row r="12" spans="1:7" x14ac:dyDescent="0.3">
      <c r="A12" t="s">
        <v>144</v>
      </c>
      <c r="B12" t="s">
        <v>145</v>
      </c>
      <c r="C12" t="s">
        <v>9</v>
      </c>
      <c r="D12" t="s">
        <v>10</v>
      </c>
      <c r="E12" t="s">
        <v>0</v>
      </c>
      <c r="F12" s="3">
        <v>-18011.669999999998</v>
      </c>
      <c r="G12" s="1">
        <v>869.45</v>
      </c>
    </row>
    <row r="13" spans="1:7" x14ac:dyDescent="0.3">
      <c r="A13" t="s">
        <v>0</v>
      </c>
      <c r="F13" s="3"/>
    </row>
  </sheetData>
  <conditionalFormatting sqref="F9:F13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22B9-A2D1-4BCB-BA91-B9458CAB3AD4}">
  <dimension ref="A1:G12"/>
  <sheetViews>
    <sheetView workbookViewId="0">
      <selection activeCell="A12" sqref="A12:XFD12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131</v>
      </c>
    </row>
    <row r="2" spans="1:7" x14ac:dyDescent="0.3">
      <c r="A2" t="s">
        <v>146</v>
      </c>
    </row>
    <row r="3" spans="1:7" x14ac:dyDescent="0.3">
      <c r="A3" t="s">
        <v>0</v>
      </c>
    </row>
    <row r="4" spans="1:7" x14ac:dyDescent="0.3">
      <c r="A4" t="s">
        <v>133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147</v>
      </c>
    </row>
    <row r="8" spans="1:7" x14ac:dyDescent="0.3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</row>
    <row r="9" spans="1:7" x14ac:dyDescent="0.3">
      <c r="A9" t="s">
        <v>148</v>
      </c>
      <c r="B9" t="s">
        <v>149</v>
      </c>
      <c r="C9" t="s">
        <v>11</v>
      </c>
      <c r="D9" t="s">
        <v>12</v>
      </c>
      <c r="E9" t="s">
        <v>0</v>
      </c>
      <c r="F9" s="3">
        <v>-10</v>
      </c>
      <c r="G9" s="1">
        <v>859.45</v>
      </c>
    </row>
    <row r="10" spans="1:7" x14ac:dyDescent="0.3">
      <c r="A10" t="s">
        <v>150</v>
      </c>
      <c r="B10" t="s">
        <v>150</v>
      </c>
      <c r="C10" t="s">
        <v>9</v>
      </c>
      <c r="D10" t="s">
        <v>151</v>
      </c>
      <c r="E10" t="s">
        <v>152</v>
      </c>
      <c r="F10" s="3">
        <v>18000</v>
      </c>
      <c r="G10" s="1">
        <v>18859.45</v>
      </c>
    </row>
    <row r="11" spans="1:7" x14ac:dyDescent="0.3">
      <c r="A11" t="s">
        <v>153</v>
      </c>
      <c r="B11" t="s">
        <v>153</v>
      </c>
      <c r="C11" t="s">
        <v>9</v>
      </c>
      <c r="D11" t="s">
        <v>10</v>
      </c>
      <c r="E11" t="s">
        <v>0</v>
      </c>
      <c r="F11" s="3">
        <v>-18011.669999999998</v>
      </c>
      <c r="G11" s="1">
        <v>847.78</v>
      </c>
    </row>
    <row r="12" spans="1:7" x14ac:dyDescent="0.3">
      <c r="A12" t="s">
        <v>0</v>
      </c>
    </row>
  </sheetData>
  <conditionalFormatting sqref="F9:F1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17168-14D8-4ED5-99B1-4BF9D85F96E0}">
  <dimension ref="A1:G13"/>
  <sheetViews>
    <sheetView workbookViewId="0">
      <selection activeCell="C9" sqref="C9:C12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0.796875" customWidth="1"/>
    <col min="5" max="6" width="15.796875" customWidth="1"/>
  </cols>
  <sheetData>
    <row r="1" spans="1:7" x14ac:dyDescent="0.3">
      <c r="A1" t="s">
        <v>131</v>
      </c>
    </row>
    <row r="2" spans="1:7" x14ac:dyDescent="0.3">
      <c r="A2" t="s">
        <v>164</v>
      </c>
    </row>
    <row r="3" spans="1:7" x14ac:dyDescent="0.3">
      <c r="A3" t="s">
        <v>0</v>
      </c>
    </row>
    <row r="4" spans="1:7" x14ac:dyDescent="0.3">
      <c r="A4" t="s">
        <v>163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162</v>
      </c>
    </row>
    <row r="8" spans="1:7" s="2" customFormat="1" x14ac:dyDescent="0.3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</row>
    <row r="9" spans="1:7" x14ac:dyDescent="0.3">
      <c r="A9" t="s">
        <v>154</v>
      </c>
      <c r="B9" t="s">
        <v>155</v>
      </c>
      <c r="C9" t="s">
        <v>11</v>
      </c>
      <c r="D9" t="s">
        <v>12</v>
      </c>
      <c r="E9" t="s">
        <v>0</v>
      </c>
      <c r="F9" s="1">
        <v>-10</v>
      </c>
      <c r="G9" s="1">
        <v>837.78</v>
      </c>
    </row>
    <row r="10" spans="1:7" x14ac:dyDescent="0.3">
      <c r="A10" t="s">
        <v>161</v>
      </c>
      <c r="B10" t="s">
        <v>161</v>
      </c>
      <c r="C10" t="s">
        <v>9</v>
      </c>
      <c r="D10" t="s">
        <v>160</v>
      </c>
      <c r="E10" t="s">
        <v>159</v>
      </c>
      <c r="F10" s="1">
        <v>1260.42</v>
      </c>
      <c r="G10" s="1">
        <v>2098.1999999999998</v>
      </c>
    </row>
    <row r="11" spans="1:7" x14ac:dyDescent="0.3">
      <c r="A11" t="s">
        <v>158</v>
      </c>
      <c r="B11" t="s">
        <v>158</v>
      </c>
      <c r="C11" t="s">
        <v>9</v>
      </c>
      <c r="D11" t="s">
        <v>157</v>
      </c>
      <c r="E11" t="s">
        <v>35</v>
      </c>
      <c r="F11" s="1">
        <v>16800</v>
      </c>
      <c r="G11" s="1">
        <v>18898.2</v>
      </c>
    </row>
    <row r="12" spans="1:7" x14ac:dyDescent="0.3">
      <c r="A12" t="s">
        <v>156</v>
      </c>
      <c r="B12" t="s">
        <v>156</v>
      </c>
      <c r="C12" t="s">
        <v>9</v>
      </c>
      <c r="D12" t="s">
        <v>10</v>
      </c>
      <c r="E12" t="s">
        <v>0</v>
      </c>
      <c r="F12" s="1">
        <v>-18011.669999999998</v>
      </c>
      <c r="G12" s="1">
        <v>886.53</v>
      </c>
    </row>
    <row r="13" spans="1:7" x14ac:dyDescent="0.3">
      <c r="A13" t="s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CAD1E-C3EC-451A-9A03-CA7BCD782189}">
  <dimension ref="A1:G17"/>
  <sheetViews>
    <sheetView topLeftCell="A4" workbookViewId="0">
      <selection activeCell="A8" sqref="A8:XFD8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32.796875" customWidth="1"/>
    <col min="5" max="6" width="15.796875" customWidth="1"/>
  </cols>
  <sheetData>
    <row r="1" spans="1:7" x14ac:dyDescent="0.3">
      <c r="A1" t="s">
        <v>131</v>
      </c>
    </row>
    <row r="2" spans="1:7" x14ac:dyDescent="0.3">
      <c r="A2" t="s">
        <v>165</v>
      </c>
    </row>
    <row r="3" spans="1:7" x14ac:dyDescent="0.3">
      <c r="A3" t="s">
        <v>0</v>
      </c>
    </row>
    <row r="4" spans="1:7" x14ac:dyDescent="0.3">
      <c r="A4" t="s">
        <v>133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166</v>
      </c>
    </row>
    <row r="8" spans="1:7" s="2" customFormat="1" x14ac:dyDescent="0.3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</row>
    <row r="9" spans="1:7" x14ac:dyDescent="0.3">
      <c r="A9" t="s">
        <v>167</v>
      </c>
      <c r="B9" t="s">
        <v>168</v>
      </c>
      <c r="C9" t="s">
        <v>11</v>
      </c>
      <c r="D9" t="s">
        <v>12</v>
      </c>
      <c r="E9" t="s">
        <v>0</v>
      </c>
      <c r="F9" s="1">
        <v>-10</v>
      </c>
      <c r="G9" s="1">
        <v>876.53</v>
      </c>
    </row>
    <row r="10" spans="1:7" x14ac:dyDescent="0.3">
      <c r="A10" t="s">
        <v>169</v>
      </c>
      <c r="B10" t="s">
        <v>169</v>
      </c>
      <c r="C10" t="s">
        <v>9</v>
      </c>
      <c r="D10" t="s">
        <v>170</v>
      </c>
      <c r="E10" t="s">
        <v>171</v>
      </c>
      <c r="F10" s="1">
        <v>404.3</v>
      </c>
      <c r="G10" s="1">
        <v>1280.83</v>
      </c>
    </row>
    <row r="11" spans="1:7" x14ac:dyDescent="0.3">
      <c r="A11" t="s">
        <v>169</v>
      </c>
      <c r="B11" t="s">
        <v>169</v>
      </c>
      <c r="C11" t="s">
        <v>9</v>
      </c>
      <c r="D11" t="s">
        <v>172</v>
      </c>
      <c r="E11" t="s">
        <v>173</v>
      </c>
      <c r="F11" s="1">
        <v>110.27</v>
      </c>
      <c r="G11" s="1">
        <v>1391.1</v>
      </c>
    </row>
    <row r="12" spans="1:7" x14ac:dyDescent="0.3">
      <c r="A12" t="s">
        <v>169</v>
      </c>
      <c r="B12" t="s">
        <v>169</v>
      </c>
      <c r="C12" t="s">
        <v>9</v>
      </c>
      <c r="D12" t="s">
        <v>174</v>
      </c>
      <c r="E12" t="s">
        <v>175</v>
      </c>
      <c r="F12" s="1">
        <v>110.27</v>
      </c>
      <c r="G12" s="1">
        <v>1501.37</v>
      </c>
    </row>
    <row r="13" spans="1:7" x14ac:dyDescent="0.3">
      <c r="A13" t="s">
        <v>176</v>
      </c>
      <c r="B13" t="s">
        <v>176</v>
      </c>
      <c r="C13" t="s">
        <v>9</v>
      </c>
      <c r="D13" t="s">
        <v>177</v>
      </c>
      <c r="E13" t="s">
        <v>178</v>
      </c>
      <c r="F13" s="1">
        <v>294.02999999999997</v>
      </c>
      <c r="G13" s="1">
        <v>1795.4</v>
      </c>
    </row>
    <row r="14" spans="1:7" x14ac:dyDescent="0.3">
      <c r="A14" t="s">
        <v>176</v>
      </c>
      <c r="B14" t="s">
        <v>176</v>
      </c>
      <c r="C14" t="s">
        <v>9</v>
      </c>
      <c r="D14" t="s">
        <v>179</v>
      </c>
      <c r="E14" t="s">
        <v>180</v>
      </c>
      <c r="F14" s="1">
        <v>257.27999999999997</v>
      </c>
      <c r="G14" s="1">
        <v>2052.6799999999998</v>
      </c>
    </row>
    <row r="15" spans="1:7" x14ac:dyDescent="0.3">
      <c r="A15" t="s">
        <v>181</v>
      </c>
      <c r="B15" t="s">
        <v>181</v>
      </c>
      <c r="C15" t="s">
        <v>9</v>
      </c>
      <c r="D15" t="s">
        <v>182</v>
      </c>
      <c r="E15" t="s">
        <v>183</v>
      </c>
      <c r="F15" s="1">
        <v>16400</v>
      </c>
      <c r="G15" s="1">
        <v>18452.68</v>
      </c>
    </row>
    <row r="16" spans="1:7" x14ac:dyDescent="0.3">
      <c r="A16" t="s">
        <v>184</v>
      </c>
      <c r="B16" t="s">
        <v>184</v>
      </c>
      <c r="C16" t="s">
        <v>9</v>
      </c>
      <c r="D16" t="s">
        <v>10</v>
      </c>
      <c r="E16" t="s">
        <v>0</v>
      </c>
      <c r="F16" s="1">
        <v>-18011.669999999998</v>
      </c>
      <c r="G16" s="1">
        <v>441.01</v>
      </c>
    </row>
    <row r="17" spans="1:1" x14ac:dyDescent="0.3">
      <c r="A1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Pascual Briones</dc:creator>
  <cp:lastModifiedBy>Bianca Podariu</cp:lastModifiedBy>
  <dcterms:created xsi:type="dcterms:W3CDTF">2025-02-19T14:13:03Z</dcterms:created>
  <dcterms:modified xsi:type="dcterms:W3CDTF">2026-02-25T08:21:17Z</dcterms:modified>
</cp:coreProperties>
</file>