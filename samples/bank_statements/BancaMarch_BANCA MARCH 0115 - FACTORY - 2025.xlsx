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6.Contabilidad/11. Auditorias/2025 - EY/Extractos bancarios - 13/BancaMarch/"/>
    </mc:Choice>
  </mc:AlternateContent>
  <xr:revisionPtr revIDLastSave="93" documentId="8_{E45537B2-0022-4BE1-A329-49CDB6423F27}" xr6:coauthVersionLast="47" xr6:coauthVersionMax="47" xr10:uidLastSave="{F2CD90E5-1BE4-4450-B9F5-C1867B1B8509}"/>
  <bookViews>
    <workbookView xWindow="28680" yWindow="-30" windowWidth="29040" windowHeight="15720" xr2:uid="{00000000-000D-0000-FFFF-FFFF00000000}"/>
  </bookViews>
  <sheets>
    <sheet name="ENERO" sheetId="1" r:id="rId1"/>
    <sheet name="FEBRERO" sheetId="3" r:id="rId2"/>
    <sheet name="MARZO" sheetId="4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<sst xmlns="http://schemas.openxmlformats.org/spreadsheetml/2006/main" count="245" uniqueCount="78">
  <si>
    <t/>
  </si>
  <si>
    <t>ES19 0061 0376 3600 1633 0115 - ISEAZY FACTORY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</si>
  <si>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</si>
  <si>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</si>
  <si>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</si>
  <si>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</si>
  <si>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</si>
  <si>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</si>
  <si>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</si>
  <si>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01/01/2025</t>
  </si>
  <si>
    <t>31/12</t>
  </si>
  <si>
    <t>0521</t>
  </si>
  <si>
    <t>LIQUID.PROPIA CUENTA</t>
  </si>
  <si>
    <t>02/01/2025</t>
  </si>
  <si>
    <t>02/01</t>
  </si>
  <si>
    <t>0600</t>
  </si>
  <si>
    <t>TRASPASO ISEAZY FACTORY</t>
  </si>
  <si>
    <t>TRASPASO LIQUIDEZ A BP BMARCH CORRIENTE DE</t>
  </si>
  <si>
    <t>01/02/2025</t>
  </si>
  <si>
    <t>31/01</t>
  </si>
  <si>
    <t>TRASPASO LIQUIDEZ A BP BMARCH CREDITO DE B</t>
  </si>
  <si>
    <t>19/03</t>
  </si>
  <si>
    <t>19/03/2025</t>
  </si>
  <si>
    <t>PAGO FRA 2025 0101</t>
  </si>
  <si>
    <t>AB.TR.SEPA 00065890587 ACERINOX S.A.</t>
  </si>
  <si>
    <t>0515</t>
  </si>
  <si>
    <t>06/03</t>
  </si>
  <si>
    <t>06/03/2025</t>
  </si>
  <si>
    <t>28/02</t>
  </si>
  <si>
    <t>01/03/2025</t>
  </si>
  <si>
    <t>31/03</t>
  </si>
  <si>
    <t>01/04/2025</t>
  </si>
  <si>
    <t>PAGO SERVICIOS CORPORATIVOS A BPO BMARCH D</t>
  </si>
  <si>
    <t>TRASPASO BIZPILLS GROUP BPO SL.</t>
  </si>
  <si>
    <t>29/04</t>
  </si>
  <si>
    <t>29/04/2025</t>
  </si>
  <si>
    <t>30/04</t>
  </si>
  <si>
    <t>01/05/2025</t>
  </si>
  <si>
    <t>19/06</t>
  </si>
  <si>
    <t>19/06/2025</t>
  </si>
  <si>
    <t>31/05</t>
  </si>
  <si>
    <t>01/06/2025</t>
  </si>
  <si>
    <t>Fecha de 01/06/2025 hasta 30/06/2025</t>
  </si>
  <si>
    <t>Cuentas a la vista - Extracto de movimientos - jue, 31 jul 2025, 13:04 CET</t>
  </si>
  <si>
    <t>01/07/2025</t>
  </si>
  <si>
    <t>30/06</t>
  </si>
  <si>
    <t>29/07/2025</t>
  </si>
  <si>
    <t>29/07</t>
  </si>
  <si>
    <t>0376</t>
  </si>
  <si>
    <t>TRASPASO CANCEL.CTA.</t>
  </si>
  <si>
    <t>31/07</t>
  </si>
  <si>
    <t>01/08/2025</t>
  </si>
  <si>
    <t>Fecha de 01/08/2025 hasta 31/08/2025</t>
  </si>
  <si>
    <t>Banca March S.A. - https://telemarch.bancamarch.es</t>
  </si>
  <si>
    <t>Cuentas a la vista - Extracto de movimientos - mar, 30 sept 2025, 09:14 CET</t>
  </si>
  <si>
    <t>Últimos movimientos</t>
  </si>
  <si>
    <t>Saldo actual: 3.240,10 € Retenciones: 0,00 € Saldo disponible: 3.240,10 €</t>
  </si>
  <si>
    <t>01/09/2025</t>
  </si>
  <si>
    <t>31/08</t>
  </si>
  <si>
    <t>24/09/2025</t>
  </si>
  <si>
    <t>24/09</t>
  </si>
  <si>
    <t>AB.TR.SEPA 00070702621 CRISTIAN LAY S.A</t>
  </si>
  <si>
    <t>Cuentas a la vista - Extracto de movimientos - vie, 14 nov 2025, 12:05 CET</t>
  </si>
  <si>
    <t>Saldo actual: 220,10 € Retenciones: 0,00 € Saldo disponible: 220,10 €</t>
  </si>
  <si>
    <t>01/10/25</t>
  </si>
  <si>
    <t>30/09/25</t>
  </si>
  <si>
    <t>10/10/25</t>
  </si>
  <si>
    <t>TRANSFER. ISEAZY FACTORY SL ISEAZY</t>
  </si>
  <si>
    <t>TRASPASO LIQUIDEZ A BP BKR DE BP BMARCH</t>
  </si>
  <si>
    <t>01/11/25</t>
  </si>
  <si>
    <t>31/10/25</t>
  </si>
  <si>
    <t>Saldo actual: 210,10 € Retenciones: 0,00 € Saldo disponible: 210,10 €</t>
  </si>
  <si>
    <t>Fecha de 01/11/2025 hasta 30/11/2025</t>
  </si>
  <si>
    <t>Cuentas a la vista - Extracto de movimientos - mié, 03 dic 2025, 17:07 CET</t>
  </si>
  <si>
    <t>Cuentas a la vista - Extracto de movimientos - jue, 08 ene 2026, 09:06 CET</t>
  </si>
  <si>
    <t>Saldo actual: 200,10 € Retenciones: 0,00 € Saldo disponible: 200,10 €</t>
  </si>
  <si>
    <t>01/12/25</t>
  </si>
  <si>
    <t>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</si>
</sst>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62F2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29.19921875" customWidth="1"/>
    <col min="5" max="5" width="43.19921875" bestFit="1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9</v>
      </c>
      <c r="B5" t="s">
        <v>10</v>
      </c>
      <c r="C5" t="s">
        <v>11</v>
      </c>
      <c r="D5" t="s">
        <v>12</v>
      </c>
      <c r="E5" t="s">
        <v>0</v>
      </c>
      <c r="F5" s="3">
        <v>-10</v>
      </c>
      <c r="G5" s="1">
        <v>-10</v>
      </c>
    </row>
    <row r="6" spans="1:7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s="3">
        <v>2200</v>
      </c>
      <c r="G6" s="1">
        <v>2190</v>
      </c>
    </row>
    <row r="7" spans="1:7" x14ac:dyDescent="0.3">
      <c r="A7" t="s">
        <v>0</v>
      </c>
    </row>
  </sheetData>
  <conditionalFormatting sqref="F5:F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ignoredErrors>
    <ignoredError sqref="A1:G2 A4:G6 A7:G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7111-D46C-45DB-8681-BC42EA813AE8}">
  <dimension ref="A1:G6"/>
  <sheetViews>
    <sheetView workbookViewId="0">
      <selection activeCell="C5" sqref="C5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18</v>
      </c>
      <c r="B5" t="s">
        <v>19</v>
      </c>
      <c r="C5" t="s">
        <v>11</v>
      </c>
      <c r="D5" t="s">
        <v>12</v>
      </c>
      <c r="E5" t="s">
        <v>0</v>
      </c>
      <c r="F5" s="3">
        <v>-30.02</v>
      </c>
      <c r="G5" s="1">
        <v>2159.98</v>
      </c>
    </row>
    <row r="6" spans="1:7" x14ac:dyDescent="0.3">
      <c r="A6" t="s">
        <v>0</v>
      </c>
    </row>
  </sheetData>
  <conditionalFormatting sqref="F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118F-CDB7-41EF-B98E-AC916CCD7EED}">
  <dimension ref="A1:G8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29</v>
      </c>
      <c r="B5" t="s">
        <v>28</v>
      </c>
      <c r="C5" t="s">
        <v>11</v>
      </c>
      <c r="D5" t="s">
        <v>12</v>
      </c>
      <c r="E5" t="s">
        <v>0</v>
      </c>
      <c r="F5" s="3">
        <v>-10</v>
      </c>
      <c r="G5" s="1">
        <v>2149.98</v>
      </c>
    </row>
    <row r="6" spans="1:7" x14ac:dyDescent="0.3">
      <c r="A6" t="s">
        <v>27</v>
      </c>
      <c r="B6" t="s">
        <v>26</v>
      </c>
      <c r="C6" t="s">
        <v>25</v>
      </c>
      <c r="D6" t="s">
        <v>24</v>
      </c>
      <c r="E6" t="s">
        <v>23</v>
      </c>
      <c r="F6" s="3">
        <v>8066.68</v>
      </c>
      <c r="G6" s="1">
        <v>10216.66</v>
      </c>
    </row>
    <row r="7" spans="1:7" x14ac:dyDescent="0.3">
      <c r="A7" t="s">
        <v>22</v>
      </c>
      <c r="B7" t="s">
        <v>21</v>
      </c>
      <c r="C7" t="s">
        <v>15</v>
      </c>
      <c r="D7" t="s">
        <v>16</v>
      </c>
      <c r="E7" t="s">
        <v>20</v>
      </c>
      <c r="F7" s="3">
        <v>-200</v>
      </c>
      <c r="G7" s="1">
        <v>10016.66</v>
      </c>
    </row>
    <row r="8" spans="1:7" x14ac:dyDescent="0.3">
      <c r="A8" t="s">
        <v>0</v>
      </c>
    </row>
  </sheetData>
  <conditionalFormatting sqref="F5:F7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25AF-121F-4265-AACF-DCAFE477AB14}">
  <dimension ref="A1:G7"/>
  <sheetViews>
    <sheetView workbookViewId="0">
      <selection activeCell="C5" sqref="C5: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31</v>
      </c>
      <c r="B5" t="s">
        <v>30</v>
      </c>
      <c r="C5" t="s">
        <v>11</v>
      </c>
      <c r="D5" t="s">
        <v>12</v>
      </c>
      <c r="E5" t="s">
        <v>0</v>
      </c>
      <c r="F5" s="3">
        <v>-10</v>
      </c>
      <c r="G5" s="1">
        <v>10006.66</v>
      </c>
    </row>
    <row r="6" spans="1:7" x14ac:dyDescent="0.3">
      <c r="A6" t="s">
        <v>35</v>
      </c>
      <c r="B6" t="s">
        <v>34</v>
      </c>
      <c r="C6" t="s">
        <v>15</v>
      </c>
      <c r="D6" t="s">
        <v>33</v>
      </c>
      <c r="E6" t="s">
        <v>32</v>
      </c>
      <c r="F6" s="3">
        <v>-9800</v>
      </c>
      <c r="G6" s="1">
        <v>206.66</v>
      </c>
    </row>
    <row r="7" spans="1:7" x14ac:dyDescent="0.3">
      <c r="A7" t="s">
        <v>0</v>
      </c>
    </row>
  </sheetData>
  <conditionalFormatting sqref="F5:F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77B5-A335-4204-9674-DA88734D344F}">
  <dimension ref="A1:G6"/>
  <sheetViews>
    <sheetView workbookViewId="0">
      <selection activeCell="C5" sqref="C5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37</v>
      </c>
      <c r="B5" t="s">
        <v>36</v>
      </c>
      <c r="C5" t="s">
        <v>11</v>
      </c>
      <c r="D5" t="s">
        <v>12</v>
      </c>
      <c r="E5" t="s">
        <v>0</v>
      </c>
      <c r="F5" s="3">
        <v>-10</v>
      </c>
      <c r="G5" s="1">
        <v>196.66</v>
      </c>
    </row>
    <row r="6" spans="1:7" x14ac:dyDescent="0.3">
      <c r="A6" t="s">
        <v>0</v>
      </c>
    </row>
  </sheetData>
  <conditionalFormatting sqref="F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CE47-C04D-4C55-B04A-F11543AA1F5D}">
  <dimension ref="A1:G9"/>
  <sheetViews>
    <sheetView workbookViewId="0">
      <selection activeCell="C7" sqref="C7:C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42</v>
      </c>
    </row>
    <row r="3" spans="1:7" x14ac:dyDescent="0.3">
      <c r="A3" t="s">
        <v>0</v>
      </c>
    </row>
    <row r="4" spans="1:7" x14ac:dyDescent="0.3">
      <c r="A4" t="s">
        <v>1</v>
      </c>
    </row>
    <row r="6" spans="1:7" s="2" customFormat="1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41</v>
      </c>
      <c r="B7" t="s">
        <v>40</v>
      </c>
      <c r="C7" t="s">
        <v>11</v>
      </c>
      <c r="D7" t="s">
        <v>12</v>
      </c>
      <c r="E7" t="s">
        <v>0</v>
      </c>
      <c r="F7" s="3">
        <v>-10</v>
      </c>
      <c r="G7" s="1">
        <v>186.66</v>
      </c>
    </row>
    <row r="8" spans="1:7" x14ac:dyDescent="0.3">
      <c r="A8" t="s">
        <v>39</v>
      </c>
      <c r="B8" t="s">
        <v>38</v>
      </c>
      <c r="C8" t="s">
        <v>15</v>
      </c>
      <c r="D8" t="s">
        <v>16</v>
      </c>
      <c r="E8" t="s">
        <v>20</v>
      </c>
      <c r="F8" s="3">
        <v>-80</v>
      </c>
      <c r="G8" s="1">
        <v>106.66</v>
      </c>
    </row>
    <row r="9" spans="1:7" x14ac:dyDescent="0.3">
      <c r="A9" t="s">
        <v>0</v>
      </c>
    </row>
  </sheetData>
  <conditionalFormatting sqref="F7:F8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0D91-7005-4415-AD6B-E2674942026D}">
  <dimension ref="A1:G9"/>
  <sheetViews>
    <sheetView workbookViewId="0">
      <selection activeCell="C7" sqref="C7:C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43</v>
      </c>
    </row>
    <row r="2" spans="1:7" x14ac:dyDescent="0.3">
      <c r="A2" t="s">
        <v>0</v>
      </c>
    </row>
    <row r="3" spans="1:7" x14ac:dyDescent="0.3">
      <c r="A3" t="s">
        <v>0</v>
      </c>
    </row>
    <row r="4" spans="1:7" x14ac:dyDescent="0.3">
      <c r="A4" t="s">
        <v>1</v>
      </c>
    </row>
    <row r="6" spans="1:7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44</v>
      </c>
      <c r="B7" t="s">
        <v>45</v>
      </c>
      <c r="C7" t="s">
        <v>11</v>
      </c>
      <c r="D7" t="s">
        <v>12</v>
      </c>
      <c r="E7" t="s">
        <v>0</v>
      </c>
      <c r="F7" s="3">
        <v>-10</v>
      </c>
      <c r="G7" s="1">
        <v>96.66</v>
      </c>
    </row>
    <row r="8" spans="1:7" x14ac:dyDescent="0.3">
      <c r="A8" t="s">
        <v>46</v>
      </c>
      <c r="B8" t="s">
        <v>47</v>
      </c>
      <c r="C8" t="s">
        <v>48</v>
      </c>
      <c r="D8" t="s">
        <v>49</v>
      </c>
      <c r="E8" t="s">
        <v>0</v>
      </c>
      <c r="F8" s="3">
        <v>139.65</v>
      </c>
      <c r="G8" s="1">
        <v>236.31</v>
      </c>
    </row>
    <row r="9" spans="1:7" x14ac:dyDescent="0.3">
      <c r="A9" t="s">
        <v>0</v>
      </c>
    </row>
  </sheetData>
  <conditionalFormatting sqref="F7:F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6AE0-09FB-4D33-8807-8D30287FFF82}">
  <dimension ref="A1:G7"/>
  <sheetViews>
    <sheetView workbookViewId="0">
      <selection activeCell="C6" sqref="C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52</v>
      </c>
    </row>
    <row r="2" spans="1:7" x14ac:dyDescent="0.3">
      <c r="A2" t="s">
        <v>0</v>
      </c>
    </row>
    <row r="3" spans="1:7" x14ac:dyDescent="0.3">
      <c r="A3" t="s">
        <v>1</v>
      </c>
    </row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t="s">
        <v>51</v>
      </c>
      <c r="B6" t="s">
        <v>50</v>
      </c>
      <c r="C6" t="s">
        <v>11</v>
      </c>
      <c r="D6" t="s">
        <v>12</v>
      </c>
      <c r="E6" t="s">
        <v>0</v>
      </c>
      <c r="F6" s="3">
        <v>-10</v>
      </c>
      <c r="G6" s="1">
        <v>226.31</v>
      </c>
    </row>
    <row r="7" spans="1:7" x14ac:dyDescent="0.3">
      <c r="A7" t="s">
        <v>0</v>
      </c>
    </row>
  </sheetData>
  <conditionalFormatting sqref="F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FE91-2CFA-4CCE-A9D9-706F8D03EEB8}">
  <dimension ref="A1:G11"/>
  <sheetViews>
    <sheetView workbookViewId="0">
      <selection activeCell="H1" sqref="H1:H1048576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53</v>
      </c>
    </row>
    <row r="2" spans="1:7" x14ac:dyDescent="0.3">
      <c r="A2" t="s">
        <v>54</v>
      </c>
    </row>
    <row r="3" spans="1:7" x14ac:dyDescent="0.3">
      <c r="A3" t="s">
        <v>0</v>
      </c>
    </row>
    <row r="4" spans="1:7" x14ac:dyDescent="0.3">
      <c r="A4" t="s">
        <v>55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56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57</v>
      </c>
      <c r="B9" t="s">
        <v>58</v>
      </c>
      <c r="C9" t="s">
        <v>11</v>
      </c>
      <c r="D9" t="s">
        <v>12</v>
      </c>
      <c r="E9" t="s">
        <v>0</v>
      </c>
      <c r="F9" s="3">
        <v>-10</v>
      </c>
      <c r="G9" s="1">
        <v>216.31</v>
      </c>
    </row>
    <row r="10" spans="1:7" x14ac:dyDescent="0.3">
      <c r="A10" t="s">
        <v>59</v>
      </c>
      <c r="B10" t="s">
        <v>60</v>
      </c>
      <c r="C10" t="s">
        <v>25</v>
      </c>
      <c r="D10" t="s">
        <v>61</v>
      </c>
      <c r="E10" t="s">
        <v>0</v>
      </c>
      <c r="F10" s="3">
        <v>3023.79</v>
      </c>
      <c r="G10" s="1">
        <v>3240.1</v>
      </c>
    </row>
    <row r="11" spans="1:7" x14ac:dyDescent="0.3">
      <c r="A11" t="s">
        <v>0</v>
      </c>
    </row>
  </sheetData>
  <conditionalFormatting sqref="F9:F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AF99-659D-487D-9CD4-D30DFBA25388}">
  <dimension ref="A1:G11"/>
  <sheetViews>
    <sheetView workbookViewId="0">
      <selection activeCell="C9" sqref="C9:C10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53</v>
      </c>
    </row>
    <row r="2" spans="1:7" x14ac:dyDescent="0.3">
      <c r="A2" t="s">
        <v>62</v>
      </c>
    </row>
    <row r="3" spans="1:7" x14ac:dyDescent="0.3">
      <c r="A3" t="s">
        <v>0</v>
      </c>
    </row>
    <row r="4" spans="1:7" x14ac:dyDescent="0.3">
      <c r="A4" t="s">
        <v>55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63</v>
      </c>
    </row>
    <row r="8" spans="1:7" x14ac:dyDescent="0.3">
      <c r="A8" t="s">
        <v>2</v>
      </c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</row>
    <row r="9" spans="1:7" x14ac:dyDescent="0.3">
      <c r="A9" t="s">
        <v>64</v>
      </c>
      <c r="B9" t="s">
        <v>65</v>
      </c>
      <c r="C9" t="s">
        <v>11</v>
      </c>
      <c r="D9" t="s">
        <v>12</v>
      </c>
      <c r="E9" t="s">
        <v>0</v>
      </c>
      <c r="F9" s="3">
        <v>-10</v>
      </c>
      <c r="G9" s="1">
        <v>3230.1</v>
      </c>
    </row>
    <row r="10" spans="1:7" x14ac:dyDescent="0.3">
      <c r="A10" t="s">
        <v>66</v>
      </c>
      <c r="B10" t="s">
        <v>66</v>
      </c>
      <c r="C10" t="s">
        <v>15</v>
      </c>
      <c r="D10" t="s">
        <v>67</v>
      </c>
      <c r="E10" t="s">
        <v>68</v>
      </c>
      <c r="F10" s="3">
        <v>-3000</v>
      </c>
      <c r="G10" s="1">
        <v>230.1</v>
      </c>
    </row>
    <row r="11" spans="1:7" x14ac:dyDescent="0.3">
      <c r="A11" t="s">
        <v>0</v>
      </c>
    </row>
  </sheetData>
  <conditionalFormatting sqref="F9:F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922D-60D4-4C22-B04B-B4113D7DBCC0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53</v>
      </c>
    </row>
    <row r="2" spans="1:7" x14ac:dyDescent="0.3">
      <c r="A2" t="s">
        <v>73</v>
      </c>
    </row>
    <row r="3" spans="1:7" x14ac:dyDescent="0.3">
      <c r="A3" t="s">
        <v>0</v>
      </c>
    </row>
    <row r="4" spans="1:7" x14ac:dyDescent="0.3">
      <c r="A4" t="s">
        <v>72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71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69</v>
      </c>
      <c r="B9" t="s">
        <v>70</v>
      </c>
      <c r="C9" t="s">
        <v>11</v>
      </c>
      <c r="D9" t="s">
        <v>12</v>
      </c>
      <c r="E9" t="s">
        <v>0</v>
      </c>
      <c r="F9" s="1">
        <v>-10</v>
      </c>
      <c r="G9" s="1">
        <v>220.1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9558-4558-49A1-94A9-D122A88DAC0C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53</v>
      </c>
    </row>
    <row r="2" spans="1:7" x14ac:dyDescent="0.3">
      <c r="A2" t="s">
        <v>74</v>
      </c>
    </row>
    <row r="3" spans="1:7" x14ac:dyDescent="0.3">
      <c r="A3" t="s">
        <v>0</v>
      </c>
    </row>
    <row r="4" spans="1:7" x14ac:dyDescent="0.3">
      <c r="A4" t="s">
        <v>55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75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76</v>
      </c>
      <c r="B9" t="s">
        <v>77</v>
      </c>
      <c r="C9" t="s">
        <v>11</v>
      </c>
      <c r="D9" t="s">
        <v>12</v>
      </c>
      <c r="E9" t="s">
        <v>0</v>
      </c>
      <c r="F9" s="1">
        <v>-10</v>
      </c>
      <c r="G9" s="1">
        <v>210.1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Bianca Podariu</cp:lastModifiedBy>
  <dcterms:created xsi:type="dcterms:W3CDTF">2025-02-19T14:18:11Z</dcterms:created>
  <dcterms:modified xsi:type="dcterms:W3CDTF">2026-02-25T08:20:51Z</dcterms:modified>
</cp:coreProperties>
</file>