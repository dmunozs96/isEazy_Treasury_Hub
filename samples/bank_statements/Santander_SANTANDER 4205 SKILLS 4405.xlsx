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6.Contabilidad/11. Auditorias/2025 - EY/Extractos bancarios - 13/Santander/"/>
    </mc:Choice>
  </mc:AlternateContent>
  <xr:revisionPtr revIDLastSave="65" documentId="13_ncr:1_{EEF17AD9-0D17-4377-BD37-2087D59B9058}" xr6:coauthVersionLast="47" xr6:coauthVersionMax="47" xr10:uidLastSave="{4B460CBB-A1AB-4426-89C2-5B409C1CACC5}"/>
  <bookViews>
    <workbookView xWindow="28680" yWindow="-30" windowWidth="29040" windowHeight="15720" xr2:uid="{00000000-000D-0000-FFFF-FFFF00000000}"/>
  </bookViews>
  <sheets>
    <sheet name="ENERO-FEBRERO" sheetId="1" r:id="rId1"/>
    <sheet name="MARZO" sheetId="2" r:id="rId2"/>
    <sheet name="ABRIL" sheetId="4" r:id="rId3"/>
    <sheet name="MAYO" sheetId="6" r:id="rId4"/>
    <sheet name="JUNIO" sheetId="7" r:id="rId5"/>
    <sheet name="JULIO" sheetId="8" r:id="rId6"/>
    <sheet name="AGOSTO" sheetId="9" r:id="rId7"/>
    <sheet name="SEPTIEMBRE" sheetId="10" r:id="rId8"/>
    <sheet name="OCTUBRE" sheetId="11" r:id="rId9"/>
    <sheet name="NOVIEMBRE" sheetId="12" r:id="rId10"/>
    <sheet name="DICIEMBRE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<sst xmlns="http://schemas.openxmlformats.org/spreadsheetml/2006/main" count="694" uniqueCount="127">
  <si>
    <t>Titular</t>
  </si>
  <si>
    <t>Saldo disponible</t>
  </si>
  <si>
    <t>Saldo real</t>
  </si>
  <si>
    <t>ISEAZY SKILLS SL</t>
  </si>
  <si>
    <t>379,53 EUR</t>
  </si>
  <si>
    <t>Cuenta</t>
  </si>
  <si>
    <t>Retenciones</t>
  </si>
  <si>
    <t>Saldo consolidado</t>
  </si>
  <si>
    <t>ES67 0075 1788 57 0606044205</t>
  </si>
  <si>
    <t>0,00 EUR</t>
  </si>
  <si>
    <t>Movimientos Fecha desde 01/01/2025 Fecha Hasta 28/02/2025</t>
  </si>
  <si>
    <t>12/03/2025 | 11:32:21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</si>
  <si>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</si>
  <si>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</si>
  <si>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</si>
  <si>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</si>
  <si>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</si>
  <si>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</si>
  <si>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</si>
  <si>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</si>
  <si>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</si>
  <si>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</si>
  <si>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</si>
  <si>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24/02/2025</t>
  </si>
  <si>
    <t>23/02/2025</t>
  </si>
  <si>
    <t>Liquidacion Del Contrato 0005961 300</t>
  </si>
  <si>
    <t>EUR</t>
  </si>
  <si>
    <t>100</t>
  </si>
  <si>
    <t/>
  </si>
  <si>
    <t>07/02/2025</t>
  </si>
  <si>
    <t>Cuota Impagada Prestamo 0049 1837 123 0035562</t>
  </si>
  <si>
    <t>070</t>
  </si>
  <si>
    <t>Transferencia Inmediata De Iseazy Skills Sl, Concepto Traspaso Liquidez A Bt Pp De Bt Ib</t>
  </si>
  <si>
    <t>071</t>
  </si>
  <si>
    <t>04/02/2025</t>
  </si>
  <si>
    <t>24/01/2025</t>
  </si>
  <si>
    <t>23/01/2025</t>
  </si>
  <si>
    <t>03/01/2025</t>
  </si>
  <si>
    <t>Liquidacion Periodica Prestamo 0049 1837 123 0035562</t>
  </si>
  <si>
    <t>04/03/2025</t>
  </si>
  <si>
    <t>Transferencia De Iseazy Skills Sl, Concepto Traspaso Liquidez A Bt Pp De Bt Sch Credito.</t>
  </si>
  <si>
    <t>Transferencia De Bizpills Group Bpo S.l., Concepto Préstamo Participativo A Bt Pp De Bpo Sch.</t>
  </si>
  <si>
    <t>05/03/2025</t>
  </si>
  <si>
    <t>23/03/2025</t>
  </si>
  <si>
    <t>24/03/2025</t>
  </si>
  <si>
    <t>11/04/2025 | 12:51:33</t>
  </si>
  <si>
    <t>Movimientos Fecha desde 01/03/2025 Fecha Hasta 31/03/2025</t>
  </si>
  <si>
    <t>2.440,79 EUR</t>
  </si>
  <si>
    <t>04/04/2025</t>
  </si>
  <si>
    <t>Transferencia De Iseazy Skills Sl, Concepto Traspaso Liquidez A Bt Pp De Bt Sch.</t>
  </si>
  <si>
    <t xml:space="preserve">0049183750124101                                  </t>
  </si>
  <si>
    <t>002</t>
  </si>
  <si>
    <t>Liquidacion De Las Tarjetas De Credito Del Contrato 0049 1837 501 2410127</t>
  </si>
  <si>
    <t>08/04/2025</t>
  </si>
  <si>
    <t>069</t>
  </si>
  <si>
    <t>Ingreso En Cuenta Desde Tarjetas</t>
  </si>
  <si>
    <t>14/04/2025</t>
  </si>
  <si>
    <t>23/04/2025</t>
  </si>
  <si>
    <t>24/04/2025</t>
  </si>
  <si>
    <t>29/04/2025 | 12:16:14</t>
  </si>
  <si>
    <t>Movimientos Fecha desde 01/04/2025 Fecha Hasta 29/04/2025</t>
  </si>
  <si>
    <t>2.467,71 EUR</t>
  </si>
  <si>
    <t>05/05/2025</t>
  </si>
  <si>
    <t>03/05/2025</t>
  </si>
  <si>
    <t>23/05/2025</t>
  </si>
  <si>
    <t>26/05/2025</t>
  </si>
  <si>
    <t>16/06/2025 | 09:31:07</t>
  </si>
  <si>
    <t>Movimientos Fecha desde 01/05/2025 Fecha Hasta 31/05/2025</t>
  </si>
  <si>
    <t>695,23 EUR</t>
  </si>
  <si>
    <t>04/06/2025</t>
  </si>
  <si>
    <t>23/06/2025</t>
  </si>
  <si>
    <t>24/06/2025</t>
  </si>
  <si>
    <t>03/07/2025 | 17:07:12</t>
  </si>
  <si>
    <t>Movimientos Fecha desde 01/06/2025 Fecha Hasta 30/06/2025</t>
  </si>
  <si>
    <t>680,23 EUR</t>
  </si>
  <si>
    <t>786,49 EUR</t>
  </si>
  <si>
    <t>Movimientos Fecha desde 03/05/2025 Fecha Hasta 31/07/2025</t>
  </si>
  <si>
    <t>31/07/2025 | 14:54:36</t>
  </si>
  <si>
    <t>24/07/2025</t>
  </si>
  <si>
    <t>23/07/2025</t>
  </si>
  <si>
    <t>04/07/2025</t>
  </si>
  <si>
    <t>05/08/2025</t>
  </si>
  <si>
    <t>23/08/2025</t>
  </si>
  <si>
    <t>25/08/2025</t>
  </si>
  <si>
    <t>28/08/2025</t>
  </si>
  <si>
    <t>03/09/2025 | 08:54:32</t>
  </si>
  <si>
    <t>Movimientos Fecha desde 01/08/2025 Fecha Hasta 31/08/2025</t>
  </si>
  <si>
    <t>2.892,75 EUR</t>
  </si>
  <si>
    <t>1.014,01 EUR</t>
  </si>
  <si>
    <t>ISEAZY SL</t>
  </si>
  <si>
    <t>4.562,67 EUR</t>
  </si>
  <si>
    <t>ES16 0075 1788 52 0606044107</t>
  </si>
  <si>
    <t>Movimientos Fecha desde 03/07/2025 Fecha Hasta 30/09/2025</t>
  </si>
  <si>
    <t>30/09/2025 | 09:54:45</t>
  </si>
  <si>
    <t>24/09/2025</t>
  </si>
  <si>
    <t>23/09/2025</t>
  </si>
  <si>
    <t>Liquidacion Del Contrato 0005555 300</t>
  </si>
  <si>
    <t>03/09/2025</t>
  </si>
  <si>
    <t>Liquidacion Periodica Prestamo 0049 1837 123 0035564</t>
  </si>
  <si>
    <t>124,53 EUR</t>
  </si>
  <si>
    <t>Movimientos Fecha desde 01/10/2025 Fecha Hasta 31/10/2025</t>
  </si>
  <si>
    <t>13/11/2025 | 10:51:04</t>
  </si>
  <si>
    <t>24/10/2025</t>
  </si>
  <si>
    <t>23/10/2025</t>
  </si>
  <si>
    <t>06/10/2025</t>
  </si>
  <si>
    <t>072</t>
  </si>
  <si>
    <t>Transferencia Inmediata A Favor De Iseazy Skills Sl Concepto Traspaso Liquidez A Bt Ib De Bt Pp</t>
  </si>
  <si>
    <t>03/11/2025</t>
  </si>
  <si>
    <t>04/11/2025</t>
  </si>
  <si>
    <t>05/11/2025</t>
  </si>
  <si>
    <t>Transferencia De Fundacion Accion Contra El Hambre, Concepto Fra.</t>
  </si>
  <si>
    <t>13/11/2025</t>
  </si>
  <si>
    <t>23/11/2025</t>
  </si>
  <si>
    <t>24/11/2025</t>
  </si>
  <si>
    <t>Traspaso: Traspaso Liquidez A Bt Sch Crédito De Bt Pp</t>
  </si>
  <si>
    <t>28/11/2025</t>
  </si>
  <si>
    <t>04/12/2025 | 09:52:56</t>
  </si>
  <si>
    <t>Movimientos Fecha desde 01/11/2025 Fecha Hasta 30/11/2025</t>
  </si>
  <si>
    <t>1.309,53 EUR</t>
  </si>
  <si>
    <t>04/12/2025</t>
  </si>
  <si>
    <t>Transferencia Inmediata De Iseazy Skills Sl, Concepto Traspaso Liquidez A Bt Sch De Bt Ib</t>
  </si>
  <si>
    <t>05/12/2025</t>
  </si>
  <si>
    <t>23/12/2025</t>
  </si>
  <si>
    <t>24/12/2025</t>
  </si>
  <si>
    <t>12/01/2026 | 12:49:12</t>
  </si>
  <si>
    <t>Movimientos Fecha desde 01/12/2025 Fecha Hasta 31/12/2025</t>
  </si>
  <si>
    <t>535,49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</si>
</sst>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color rgb="FFE62F28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top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4" fontId="7" fillId="0" borderId="0" xfId="0" applyNumberFormat="1" applyFont="1" applyAlignment="1">
      <alignment horizontal="left" vertical="top"/>
    </xf>
    <xf numFmtId="4" fontId="7" fillId="0" borderId="0" xfId="0" applyNumberFormat="1" applyFont="1" applyAlignment="1">
      <alignment horizontal="right" vertical="center"/>
    </xf>
    <xf numFmtId="0" fontId="0" fillId="0" borderId="0" xfId="0"/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C07E322A-6D37-410D-AB91-38A75694A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A02BED0C-D3E9-4E72-BBC5-68CF46863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706ECF-37E5-4EB5-B8F7-642A808CA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FA0DDBDB-3EAD-4823-A38E-E986AD990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3DC28081-C83A-4456-B618-02195C781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A5A0B4B-F611-4AA2-B730-2B520BF02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B45F7497-CD91-43BD-BD9A-2FEE537FD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BB6EC51F-354E-4D58-AA3C-4A9532A20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060"/>
          <a:ext cx="1447800" cy="457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6821174A-0F3E-4200-8E4A-5BA554B2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D2DEA22-286F-49AA-87C3-08658C99C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C11" sqref="C11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4</v>
      </c>
      <c r="E3" s="3" t="s">
        <v>4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</v>
      </c>
    </row>
    <row r="7" spans="1:12" ht="13.95" customHeight="1" x14ac:dyDescent="0.3">
      <c r="A7" s="19" t="s">
        <v>10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11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23</v>
      </c>
      <c r="B9" s="4" t="s">
        <v>24</v>
      </c>
      <c r="C9" s="3" t="s">
        <v>25</v>
      </c>
      <c r="D9" s="6">
        <v>-15</v>
      </c>
      <c r="E9" s="3" t="s">
        <v>26</v>
      </c>
      <c r="F9" s="1">
        <v>458.36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  <row r="10" spans="1:12" ht="22.95" customHeight="1" x14ac:dyDescent="0.3">
      <c r="A10" s="4" t="s">
        <v>29</v>
      </c>
      <c r="B10" s="4" t="s">
        <v>29</v>
      </c>
      <c r="C10" s="3" t="s">
        <v>30</v>
      </c>
      <c r="D10" s="6">
        <v>-26.64</v>
      </c>
      <c r="E10" s="3" t="s">
        <v>26</v>
      </c>
      <c r="F10" s="1">
        <v>473.36</v>
      </c>
      <c r="G10" s="3" t="s">
        <v>26</v>
      </c>
      <c r="H10" s="3" t="s">
        <v>31</v>
      </c>
      <c r="I10" s="3"/>
      <c r="J10" s="3" t="s">
        <v>28</v>
      </c>
      <c r="K10" s="3" t="s">
        <v>28</v>
      </c>
      <c r="L10" s="3"/>
    </row>
    <row r="11" spans="1:12" ht="22.95" customHeight="1" x14ac:dyDescent="0.3">
      <c r="A11" s="4" t="s">
        <v>29</v>
      </c>
      <c r="B11" s="4" t="s">
        <v>29</v>
      </c>
      <c r="C11" s="3" t="s">
        <v>32</v>
      </c>
      <c r="D11" s="6">
        <v>500</v>
      </c>
      <c r="E11" s="3" t="s">
        <v>26</v>
      </c>
      <c r="F11" s="1">
        <v>500</v>
      </c>
      <c r="G11" s="3" t="s">
        <v>26</v>
      </c>
      <c r="H11" s="3" t="s">
        <v>33</v>
      </c>
      <c r="I11" s="3"/>
      <c r="J11" s="3" t="s">
        <v>28</v>
      </c>
      <c r="K11" s="3" t="s">
        <v>28</v>
      </c>
      <c r="L11" s="3"/>
    </row>
    <row r="12" spans="1:12" ht="22.95" customHeight="1" x14ac:dyDescent="0.3">
      <c r="A12" s="4" t="s">
        <v>34</v>
      </c>
      <c r="B12" s="4" t="s">
        <v>34</v>
      </c>
      <c r="C12" s="3" t="s">
        <v>30</v>
      </c>
      <c r="D12" s="6">
        <v>-1852.13</v>
      </c>
      <c r="E12" s="3" t="s">
        <v>26</v>
      </c>
      <c r="F12" s="1">
        <v>0</v>
      </c>
      <c r="G12" s="3" t="s">
        <v>26</v>
      </c>
      <c r="H12" s="3" t="s">
        <v>31</v>
      </c>
      <c r="I12" s="3"/>
      <c r="J12" s="3" t="s">
        <v>28</v>
      </c>
      <c r="K12" s="3" t="s">
        <v>28</v>
      </c>
      <c r="L12" s="3"/>
    </row>
    <row r="13" spans="1:12" ht="22.95" customHeight="1" x14ac:dyDescent="0.3">
      <c r="A13" s="4" t="s">
        <v>35</v>
      </c>
      <c r="B13" s="4" t="s">
        <v>36</v>
      </c>
      <c r="C13" s="3" t="s">
        <v>25</v>
      </c>
      <c r="D13" s="6">
        <v>-15</v>
      </c>
      <c r="E13" s="3" t="s">
        <v>26</v>
      </c>
      <c r="F13" s="1">
        <v>1852.13</v>
      </c>
      <c r="G13" s="3" t="s">
        <v>26</v>
      </c>
      <c r="H13" s="3" t="s">
        <v>27</v>
      </c>
      <c r="I13" s="3"/>
      <c r="J13" s="3" t="s">
        <v>28</v>
      </c>
      <c r="K13" s="3" t="s">
        <v>28</v>
      </c>
      <c r="L13" s="3"/>
    </row>
    <row r="14" spans="1:12" ht="22.95" customHeight="1" x14ac:dyDescent="0.3">
      <c r="A14" s="4" t="s">
        <v>37</v>
      </c>
      <c r="B14" s="4" t="s">
        <v>37</v>
      </c>
      <c r="C14" s="3" t="s">
        <v>38</v>
      </c>
      <c r="D14" s="6">
        <v>-1878.74</v>
      </c>
      <c r="E14" s="3" t="s">
        <v>26</v>
      </c>
      <c r="F14" s="1">
        <v>1867.13</v>
      </c>
      <c r="G14" s="3" t="s">
        <v>26</v>
      </c>
      <c r="H14" s="3" t="s">
        <v>27</v>
      </c>
      <c r="I14" s="3"/>
      <c r="J14" s="3" t="s">
        <v>28</v>
      </c>
      <c r="K14" s="3" t="s">
        <v>28</v>
      </c>
      <c r="L14" s="3"/>
    </row>
  </sheetData>
  <mergeCells count="3">
    <mergeCell ref="A1:B5"/>
    <mergeCell ref="A7:C7"/>
    <mergeCell ref="D7:J7"/>
  </mergeCells>
  <conditionalFormatting sqref="D9:D14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EE37-E3F0-43D2-8DD3-E6C564729703}">
  <dimension ref="A1:L15"/>
  <sheetViews>
    <sheetView workbookViewId="0">
      <selection activeCell="D7" sqref="D7:J7"/>
    </sheetView>
  </sheetViews>
  <sheetFormatPr baseColWidth="10" defaultColWidth="8.88671875" defaultRowHeight="14.4" x14ac:dyDescent="0.3"/>
  <cols>
    <col min="1" max="2" width="10.5546875" customWidth="1"/>
    <col min="3" max="3" width="59.88671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47</v>
      </c>
      <c r="E3" s="3" t="s">
        <v>47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47</v>
      </c>
    </row>
    <row r="7" spans="1:12" ht="13.95" customHeight="1" x14ac:dyDescent="0.3">
      <c r="A7" s="19" t="s">
        <v>46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45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44</v>
      </c>
      <c r="B9" s="4" t="s">
        <v>43</v>
      </c>
      <c r="C9" s="3" t="s">
        <v>25</v>
      </c>
      <c r="D9" s="6">
        <v>-15</v>
      </c>
      <c r="E9" s="3" t="s">
        <v>26</v>
      </c>
      <c r="F9" s="1">
        <v>364.53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  <row r="10" spans="1:12" ht="22.95" customHeight="1" x14ac:dyDescent="0.3">
      <c r="A10" s="4" t="s">
        <v>42</v>
      </c>
      <c r="B10" s="4" t="s">
        <v>42</v>
      </c>
      <c r="C10" s="3" t="s">
        <v>30</v>
      </c>
      <c r="D10" s="6">
        <v>-220.47</v>
      </c>
      <c r="E10" s="3" t="s">
        <v>26</v>
      </c>
      <c r="F10" s="1">
        <v>379.53</v>
      </c>
      <c r="G10" s="3" t="s">
        <v>26</v>
      </c>
      <c r="H10" s="3" t="s">
        <v>31</v>
      </c>
      <c r="I10" s="3"/>
      <c r="J10" s="3" t="s">
        <v>28</v>
      </c>
      <c r="K10" s="3" t="s">
        <v>28</v>
      </c>
      <c r="L10" s="3"/>
    </row>
    <row r="11" spans="1:12" ht="22.95" customHeight="1" x14ac:dyDescent="0.3">
      <c r="A11" s="4" t="s">
        <v>39</v>
      </c>
      <c r="B11" s="4" t="s">
        <v>39</v>
      </c>
      <c r="C11" s="3" t="s">
        <v>41</v>
      </c>
      <c r="D11" s="6">
        <v>600</v>
      </c>
      <c r="E11" s="3" t="s">
        <v>26</v>
      </c>
      <c r="F11" s="1">
        <v>600</v>
      </c>
      <c r="G11" s="3" t="s">
        <v>26</v>
      </c>
      <c r="H11" s="3" t="s">
        <v>33</v>
      </c>
      <c r="I11" s="3"/>
      <c r="J11" s="3" t="s">
        <v>28</v>
      </c>
      <c r="K11" s="3" t="s">
        <v>28</v>
      </c>
      <c r="L11" s="3"/>
    </row>
    <row r="12" spans="1:12" ht="22.95" customHeight="1" x14ac:dyDescent="0.3">
      <c r="A12" s="4" t="s">
        <v>39</v>
      </c>
      <c r="B12" s="4" t="s">
        <v>39</v>
      </c>
      <c r="C12" s="3" t="s">
        <v>30</v>
      </c>
      <c r="D12" s="6">
        <v>-1200</v>
      </c>
      <c r="E12" s="3" t="s">
        <v>26</v>
      </c>
      <c r="F12" s="1">
        <v>0</v>
      </c>
      <c r="G12" s="3" t="s">
        <v>26</v>
      </c>
      <c r="H12" s="3" t="s">
        <v>31</v>
      </c>
      <c r="I12" s="3"/>
      <c r="J12" s="3" t="s">
        <v>28</v>
      </c>
      <c r="K12" s="3" t="s">
        <v>28</v>
      </c>
      <c r="L12" s="3"/>
    </row>
    <row r="13" spans="1:12" ht="22.95" customHeight="1" x14ac:dyDescent="0.3">
      <c r="A13" s="4" t="s">
        <v>39</v>
      </c>
      <c r="B13" s="4" t="s">
        <v>39</v>
      </c>
      <c r="C13" s="3" t="s">
        <v>40</v>
      </c>
      <c r="D13" s="6">
        <v>700</v>
      </c>
      <c r="E13" s="3" t="s">
        <v>26</v>
      </c>
      <c r="F13" s="1">
        <v>1200</v>
      </c>
      <c r="G13" s="3" t="s">
        <v>26</v>
      </c>
      <c r="H13" s="3" t="s">
        <v>33</v>
      </c>
      <c r="I13" s="3"/>
      <c r="J13" s="3" t="s">
        <v>28</v>
      </c>
      <c r="K13" s="3" t="s">
        <v>28</v>
      </c>
      <c r="L13" s="3"/>
    </row>
    <row r="14" spans="1:12" ht="22.95" customHeight="1" x14ac:dyDescent="0.3">
      <c r="A14" s="4" t="s">
        <v>39</v>
      </c>
      <c r="B14" s="4" t="s">
        <v>39</v>
      </c>
      <c r="C14" s="3" t="s">
        <v>32</v>
      </c>
      <c r="D14" s="6">
        <v>500</v>
      </c>
      <c r="E14" s="3" t="s">
        <v>26</v>
      </c>
      <c r="F14" s="1">
        <v>500</v>
      </c>
      <c r="G14" s="3" t="s">
        <v>26</v>
      </c>
      <c r="H14" s="3" t="s">
        <v>33</v>
      </c>
      <c r="I14" s="3"/>
      <c r="J14" s="3" t="s">
        <v>28</v>
      </c>
      <c r="K14" s="3" t="s">
        <v>28</v>
      </c>
      <c r="L14" s="3"/>
    </row>
    <row r="15" spans="1:12" ht="22.95" customHeight="1" x14ac:dyDescent="0.3">
      <c r="A15" s="4" t="s">
        <v>39</v>
      </c>
      <c r="B15" s="4" t="s">
        <v>39</v>
      </c>
      <c r="C15" s="3" t="s">
        <v>30</v>
      </c>
      <c r="D15" s="6">
        <v>-458.36</v>
      </c>
      <c r="E15" s="3" t="s">
        <v>26</v>
      </c>
      <c r="F15" s="1">
        <v>0</v>
      </c>
      <c r="G15" s="3" t="s">
        <v>26</v>
      </c>
      <c r="H15" s="3" t="s">
        <v>31</v>
      </c>
      <c r="I15" s="3"/>
      <c r="J15" s="3" t="s">
        <v>28</v>
      </c>
      <c r="K15" s="3" t="s">
        <v>28</v>
      </c>
      <c r="L15" s="3"/>
    </row>
  </sheetData>
  <mergeCells count="3">
    <mergeCell ref="A1:B5"/>
    <mergeCell ref="A7:C7"/>
    <mergeCell ref="D7:J7"/>
  </mergeCells>
  <conditionalFormatting sqref="D9:D15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B7D3-C404-459C-8D3E-479B453A40D5}">
  <dimension ref="A1:L14"/>
  <sheetViews>
    <sheetView workbookViewId="0">
      <selection activeCell="D11" sqref="D11"/>
    </sheetView>
  </sheetViews>
  <sheetFormatPr baseColWidth="10" defaultColWidth="8.88671875" defaultRowHeight="14.4" x14ac:dyDescent="0.3"/>
  <cols>
    <col min="1" max="2" width="10.5546875" customWidth="1"/>
    <col min="3" max="3" width="42.88671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61</v>
      </c>
      <c r="E3" s="3" t="s">
        <v>61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61</v>
      </c>
    </row>
    <row r="7" spans="1:12" ht="13.95" customHeight="1" x14ac:dyDescent="0.3">
      <c r="A7" s="19" t="s">
        <v>60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59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58</v>
      </c>
      <c r="B9" s="4" t="s">
        <v>57</v>
      </c>
      <c r="C9" s="3" t="s">
        <v>25</v>
      </c>
      <c r="D9" s="6">
        <v>-15</v>
      </c>
      <c r="E9" s="3" t="s">
        <v>26</v>
      </c>
      <c r="F9" s="1">
        <v>2467.71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  <row r="10" spans="1:12" ht="22.95" customHeight="1" x14ac:dyDescent="0.3">
      <c r="A10" s="4" t="s">
        <v>56</v>
      </c>
      <c r="B10" s="4" t="s">
        <v>56</v>
      </c>
      <c r="C10" s="3" t="s">
        <v>55</v>
      </c>
      <c r="D10" s="6">
        <v>41.92</v>
      </c>
      <c r="E10" s="3" t="s">
        <v>26</v>
      </c>
      <c r="F10" s="1">
        <v>2482.71</v>
      </c>
      <c r="G10" s="3" t="s">
        <v>26</v>
      </c>
      <c r="H10" s="3" t="s">
        <v>54</v>
      </c>
      <c r="I10" s="3"/>
      <c r="J10" s="3" t="s">
        <v>28</v>
      </c>
      <c r="K10" s="3" t="s">
        <v>28</v>
      </c>
      <c r="L10" s="3"/>
    </row>
    <row r="11" spans="1:12" ht="22.95" customHeight="1" x14ac:dyDescent="0.3">
      <c r="A11" s="4" t="s">
        <v>53</v>
      </c>
      <c r="B11" s="4" t="s">
        <v>53</v>
      </c>
      <c r="C11" s="3" t="s">
        <v>52</v>
      </c>
      <c r="D11" s="6">
        <v>-45</v>
      </c>
      <c r="E11" s="3" t="s">
        <v>26</v>
      </c>
      <c r="F11" s="1">
        <v>2440.79</v>
      </c>
      <c r="G11" s="3" t="s">
        <v>26</v>
      </c>
      <c r="H11" s="3" t="s">
        <v>51</v>
      </c>
      <c r="I11" s="3"/>
      <c r="J11" s="3" t="s">
        <v>28</v>
      </c>
      <c r="K11" s="3" t="s">
        <v>50</v>
      </c>
      <c r="L11" s="3"/>
    </row>
    <row r="12" spans="1:12" ht="22.95" customHeight="1" x14ac:dyDescent="0.3">
      <c r="A12" s="4" t="s">
        <v>48</v>
      </c>
      <c r="B12" s="4" t="s">
        <v>48</v>
      </c>
      <c r="C12" s="3" t="s">
        <v>30</v>
      </c>
      <c r="D12" s="6">
        <v>-1514.21</v>
      </c>
      <c r="E12" s="3" t="s">
        <v>26</v>
      </c>
      <c r="F12" s="1">
        <v>2485.79</v>
      </c>
      <c r="G12" s="3" t="s">
        <v>26</v>
      </c>
      <c r="H12" s="3" t="s">
        <v>31</v>
      </c>
      <c r="I12" s="3"/>
      <c r="J12" s="3" t="s">
        <v>28</v>
      </c>
      <c r="K12" s="3" t="s">
        <v>28</v>
      </c>
      <c r="L12" s="3"/>
    </row>
    <row r="13" spans="1:12" ht="22.95" customHeight="1" x14ac:dyDescent="0.3">
      <c r="A13" s="4" t="s">
        <v>48</v>
      </c>
      <c r="B13" s="4" t="s">
        <v>48</v>
      </c>
      <c r="C13" s="3" t="s">
        <v>49</v>
      </c>
      <c r="D13" s="6">
        <v>4000</v>
      </c>
      <c r="E13" s="3" t="s">
        <v>26</v>
      </c>
      <c r="F13" s="1">
        <v>4000</v>
      </c>
      <c r="G13" s="3" t="s">
        <v>26</v>
      </c>
      <c r="H13" s="3" t="s">
        <v>33</v>
      </c>
      <c r="I13" s="3"/>
      <c r="J13" s="3" t="s">
        <v>28</v>
      </c>
      <c r="K13" s="3" t="s">
        <v>28</v>
      </c>
      <c r="L13" s="3"/>
    </row>
    <row r="14" spans="1:12" ht="22.95" customHeight="1" x14ac:dyDescent="0.3">
      <c r="A14" s="4" t="s">
        <v>48</v>
      </c>
      <c r="B14" s="4" t="s">
        <v>48</v>
      </c>
      <c r="C14" s="3" t="s">
        <v>30</v>
      </c>
      <c r="D14" s="6">
        <v>-364.53</v>
      </c>
      <c r="E14" s="3" t="s">
        <v>26</v>
      </c>
      <c r="F14" s="1">
        <v>0</v>
      </c>
      <c r="G14" s="3" t="s">
        <v>26</v>
      </c>
      <c r="H14" s="3" t="s">
        <v>31</v>
      </c>
      <c r="I14" s="3"/>
      <c r="J14" s="3" t="s">
        <v>28</v>
      </c>
      <c r="K14" s="3" t="s">
        <v>28</v>
      </c>
      <c r="L14" s="3"/>
    </row>
  </sheetData>
  <mergeCells count="3">
    <mergeCell ref="A1:B5"/>
    <mergeCell ref="A7:C7"/>
    <mergeCell ref="D7:J7"/>
  </mergeCells>
  <conditionalFormatting sqref="D9:D14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9DA9-FCBA-4D7C-83CD-851C1F924E4C}">
  <dimension ref="A1:L10"/>
  <sheetViews>
    <sheetView workbookViewId="0">
      <selection activeCell="D10" sqref="D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7"/>
      <c r="B3" s="17"/>
      <c r="C3" s="7" t="s">
        <v>3</v>
      </c>
      <c r="D3" s="7" t="s">
        <v>68</v>
      </c>
      <c r="E3" s="7" t="s">
        <v>68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68</v>
      </c>
    </row>
    <row r="7" spans="1:12" ht="13.95" customHeight="1" x14ac:dyDescent="0.3">
      <c r="A7" s="20" t="s">
        <v>67</v>
      </c>
      <c r="B7" s="17"/>
      <c r="C7" s="17"/>
      <c r="D7" s="17"/>
      <c r="E7" s="17"/>
      <c r="F7" s="17"/>
      <c r="G7" s="17"/>
      <c r="H7" s="17"/>
      <c r="I7" s="17"/>
      <c r="J7" s="17"/>
      <c r="K7" s="7" t="s">
        <v>66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 t="s">
        <v>65</v>
      </c>
      <c r="B9" s="9" t="s">
        <v>64</v>
      </c>
      <c r="C9" s="7" t="s">
        <v>25</v>
      </c>
      <c r="D9" s="6">
        <v>-15</v>
      </c>
      <c r="E9" s="7" t="s">
        <v>26</v>
      </c>
      <c r="F9" s="8">
        <v>573.97</v>
      </c>
      <c r="G9" s="7" t="s">
        <v>26</v>
      </c>
      <c r="H9" s="7" t="s">
        <v>27</v>
      </c>
      <c r="I9" s="7"/>
      <c r="J9" s="7" t="s">
        <v>28</v>
      </c>
      <c r="K9" s="7" t="s">
        <v>28</v>
      </c>
      <c r="L9" s="7"/>
    </row>
    <row r="10" spans="1:12" ht="22.95" customHeight="1" x14ac:dyDescent="0.3">
      <c r="A10" s="9" t="s">
        <v>62</v>
      </c>
      <c r="B10" s="9" t="s">
        <v>63</v>
      </c>
      <c r="C10" s="7" t="s">
        <v>38</v>
      </c>
      <c r="D10" s="6">
        <v>-1878.74</v>
      </c>
      <c r="E10" s="7" t="s">
        <v>26</v>
      </c>
      <c r="F10" s="8">
        <v>588.97</v>
      </c>
      <c r="G10" s="7" t="s">
        <v>26</v>
      </c>
      <c r="H10" s="7" t="s">
        <v>27</v>
      </c>
      <c r="I10" s="7"/>
      <c r="J10" s="7" t="s">
        <v>28</v>
      </c>
      <c r="K10" s="7" t="s">
        <v>28</v>
      </c>
      <c r="L10" s="7"/>
    </row>
  </sheetData>
  <mergeCells count="3">
    <mergeCell ref="A1:B5"/>
    <mergeCell ref="A7:C7"/>
    <mergeCell ref="D7:J7"/>
  </mergeCells>
  <conditionalFormatting sqref="D9:D10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8E10-90F5-4793-BF8D-226A29D92CFC}">
  <dimension ref="A1:L12"/>
  <sheetViews>
    <sheetView workbookViewId="0">
      <selection activeCell="D10" sqref="D10"/>
    </sheetView>
  </sheetViews>
  <sheetFormatPr baseColWidth="10" defaultColWidth="8.88671875" defaultRowHeight="14.4" x14ac:dyDescent="0.3"/>
  <cols>
    <col min="1" max="2" width="10.5546875" customWidth="1"/>
    <col min="3" max="3" width="5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7"/>
      <c r="B3" s="17"/>
      <c r="C3" s="7" t="s">
        <v>3</v>
      </c>
      <c r="D3" s="7" t="s">
        <v>74</v>
      </c>
      <c r="E3" s="7" t="s">
        <v>74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74</v>
      </c>
    </row>
    <row r="7" spans="1:12" ht="13.95" customHeight="1" x14ac:dyDescent="0.3">
      <c r="A7" s="20" t="s">
        <v>73</v>
      </c>
      <c r="B7" s="17"/>
      <c r="C7" s="17"/>
      <c r="D7" s="17"/>
      <c r="E7" s="17"/>
      <c r="F7" s="17"/>
      <c r="G7" s="17"/>
      <c r="H7" s="17"/>
      <c r="I7" s="17"/>
      <c r="J7" s="17"/>
      <c r="K7" s="7" t="s">
        <v>72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 t="s">
        <v>71</v>
      </c>
      <c r="B9" s="9" t="s">
        <v>70</v>
      </c>
      <c r="C9" s="7" t="s">
        <v>25</v>
      </c>
      <c r="D9" s="6">
        <v>-15</v>
      </c>
      <c r="E9" s="7" t="s">
        <v>26</v>
      </c>
      <c r="F9" s="8">
        <v>680.23</v>
      </c>
      <c r="G9" s="7" t="s">
        <v>26</v>
      </c>
      <c r="H9" s="7" t="s">
        <v>27</v>
      </c>
      <c r="I9" s="7"/>
      <c r="J9" s="7" t="s">
        <v>28</v>
      </c>
      <c r="K9" s="7" t="s">
        <v>28</v>
      </c>
      <c r="L9" s="7"/>
    </row>
    <row r="10" spans="1:12" ht="22.95" customHeight="1" x14ac:dyDescent="0.3">
      <c r="A10" s="9" t="s">
        <v>69</v>
      </c>
      <c r="B10" s="9" t="s">
        <v>69</v>
      </c>
      <c r="C10" s="7" t="s">
        <v>30</v>
      </c>
      <c r="D10" s="6">
        <v>-1304.77</v>
      </c>
      <c r="E10" s="7" t="s">
        <v>26</v>
      </c>
      <c r="F10" s="8">
        <v>695.23</v>
      </c>
      <c r="G10" s="7" t="s">
        <v>26</v>
      </c>
      <c r="H10" s="7" t="s">
        <v>31</v>
      </c>
      <c r="I10" s="7"/>
      <c r="J10" s="7" t="s">
        <v>28</v>
      </c>
      <c r="K10" s="7" t="s">
        <v>28</v>
      </c>
      <c r="L10" s="7"/>
    </row>
    <row r="11" spans="1:12" ht="22.95" customHeight="1" x14ac:dyDescent="0.3">
      <c r="A11" s="9" t="s">
        <v>69</v>
      </c>
      <c r="B11" s="9" t="s">
        <v>69</v>
      </c>
      <c r="C11" s="7" t="s">
        <v>32</v>
      </c>
      <c r="D11" s="6">
        <v>2000</v>
      </c>
      <c r="E11" s="7" t="s">
        <v>26</v>
      </c>
      <c r="F11" s="8">
        <v>2000</v>
      </c>
      <c r="G11" s="7" t="s">
        <v>26</v>
      </c>
      <c r="H11" s="7" t="s">
        <v>33</v>
      </c>
      <c r="I11" s="7"/>
      <c r="J11" s="7" t="s">
        <v>28</v>
      </c>
      <c r="K11" s="7" t="s">
        <v>28</v>
      </c>
      <c r="L11" s="7"/>
    </row>
    <row r="12" spans="1:12" ht="22.95" customHeight="1" x14ac:dyDescent="0.3">
      <c r="A12" s="9" t="s">
        <v>69</v>
      </c>
      <c r="B12" s="9" t="s">
        <v>69</v>
      </c>
      <c r="C12" s="7" t="s">
        <v>30</v>
      </c>
      <c r="D12" s="6">
        <v>-573.97</v>
      </c>
      <c r="E12" s="7" t="s">
        <v>26</v>
      </c>
      <c r="F12" s="8">
        <v>0</v>
      </c>
      <c r="G12" s="7" t="s">
        <v>26</v>
      </c>
      <c r="H12" s="7" t="s">
        <v>31</v>
      </c>
      <c r="I12" s="7"/>
      <c r="J12" s="7" t="s">
        <v>28</v>
      </c>
      <c r="K12" s="7" t="s">
        <v>28</v>
      </c>
      <c r="L12" s="7"/>
    </row>
  </sheetData>
  <mergeCells count="3">
    <mergeCell ref="A1:B5"/>
    <mergeCell ref="A7:C7"/>
    <mergeCell ref="D7:J7"/>
  </mergeCells>
  <conditionalFormatting sqref="D9:D12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9A9A-26EC-469D-89E2-3DE4E9D01C7C}">
  <dimension ref="A1:L12"/>
  <sheetViews>
    <sheetView workbookViewId="0">
      <selection activeCell="D9" sqref="D9:D12"/>
    </sheetView>
  </sheetViews>
  <sheetFormatPr baseColWidth="10" defaultColWidth="8.88671875" defaultRowHeight="14.4" x14ac:dyDescent="0.3"/>
  <cols>
    <col min="1" max="2" width="10.5546875" customWidth="1"/>
    <col min="3" max="3" width="5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75</v>
      </c>
      <c r="E3" s="13" t="s">
        <v>75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75</v>
      </c>
    </row>
    <row r="7" spans="1:12" ht="13.95" customHeight="1" x14ac:dyDescent="0.3">
      <c r="A7" s="18" t="s">
        <v>76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77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78</v>
      </c>
      <c r="B9" s="15" t="s">
        <v>79</v>
      </c>
      <c r="C9" s="13" t="s">
        <v>25</v>
      </c>
      <c r="D9" s="6">
        <v>-15</v>
      </c>
      <c r="E9" s="13" t="s">
        <v>26</v>
      </c>
      <c r="F9" s="16">
        <v>786.49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  <row r="10" spans="1:12" ht="22.95" customHeight="1" x14ac:dyDescent="0.3">
      <c r="A10" s="15" t="s">
        <v>80</v>
      </c>
      <c r="B10" s="15" t="s">
        <v>80</v>
      </c>
      <c r="C10" s="13" t="s">
        <v>30</v>
      </c>
      <c r="D10" s="6">
        <v>-1198.51</v>
      </c>
      <c r="E10" s="13" t="s">
        <v>26</v>
      </c>
      <c r="F10" s="16">
        <v>801.49</v>
      </c>
      <c r="G10" s="13" t="s">
        <v>26</v>
      </c>
      <c r="H10" s="13" t="s">
        <v>31</v>
      </c>
      <c r="I10" s="13"/>
      <c r="J10" s="13" t="s">
        <v>28</v>
      </c>
      <c r="K10" s="13" t="s">
        <v>28</v>
      </c>
      <c r="L10" s="13"/>
    </row>
    <row r="11" spans="1:12" ht="22.95" customHeight="1" x14ac:dyDescent="0.3">
      <c r="A11" s="15" t="s">
        <v>80</v>
      </c>
      <c r="B11" s="15" t="s">
        <v>80</v>
      </c>
      <c r="C11" s="13" t="s">
        <v>32</v>
      </c>
      <c r="D11" s="6">
        <v>2000</v>
      </c>
      <c r="E11" s="13" t="s">
        <v>26</v>
      </c>
      <c r="F11" s="16">
        <v>2000</v>
      </c>
      <c r="G11" s="13" t="s">
        <v>26</v>
      </c>
      <c r="H11" s="13" t="s">
        <v>33</v>
      </c>
      <c r="I11" s="13"/>
      <c r="J11" s="13" t="s">
        <v>28</v>
      </c>
      <c r="K11" s="13" t="s">
        <v>28</v>
      </c>
      <c r="L11" s="13"/>
    </row>
    <row r="12" spans="1:12" ht="22.95" customHeight="1" x14ac:dyDescent="0.3">
      <c r="A12" s="15" t="s">
        <v>80</v>
      </c>
      <c r="B12" s="15" t="s">
        <v>80</v>
      </c>
      <c r="C12" s="13" t="s">
        <v>30</v>
      </c>
      <c r="D12" s="6">
        <v>-680.23</v>
      </c>
      <c r="E12" s="13" t="s">
        <v>26</v>
      </c>
      <c r="F12" s="16">
        <v>0</v>
      </c>
      <c r="G12" s="13" t="s">
        <v>26</v>
      </c>
      <c r="H12" s="13" t="s">
        <v>31</v>
      </c>
      <c r="I12" s="13"/>
      <c r="J12" s="13" t="s">
        <v>28</v>
      </c>
      <c r="K12" s="13" t="s">
        <v>28</v>
      </c>
      <c r="L12" s="13"/>
    </row>
  </sheetData>
  <mergeCells count="3">
    <mergeCell ref="A1:B5"/>
    <mergeCell ref="A7:C7"/>
    <mergeCell ref="D7:J7"/>
  </mergeCells>
  <conditionalFormatting sqref="D9:D12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1FC5-F974-46EA-9E45-3682EB6763DA}">
  <dimension ref="A1:L13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5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88</v>
      </c>
      <c r="E3" s="13" t="s">
        <v>88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87</v>
      </c>
    </row>
    <row r="7" spans="1:12" ht="13.95" customHeight="1" x14ac:dyDescent="0.3">
      <c r="A7" s="18" t="s">
        <v>86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85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84</v>
      </c>
      <c r="B9" s="15" t="s">
        <v>84</v>
      </c>
      <c r="C9" s="13" t="s">
        <v>32</v>
      </c>
      <c r="D9" s="6">
        <v>2000</v>
      </c>
      <c r="E9" s="13" t="s">
        <v>26</v>
      </c>
      <c r="F9" s="16">
        <v>2892.75</v>
      </c>
      <c r="G9" s="13" t="s">
        <v>26</v>
      </c>
      <c r="H9" s="13" t="s">
        <v>33</v>
      </c>
      <c r="I9" s="13"/>
      <c r="J9" s="13" t="s">
        <v>28</v>
      </c>
      <c r="K9" s="13" t="s">
        <v>28</v>
      </c>
      <c r="L9" s="13"/>
    </row>
    <row r="10" spans="1:12" ht="22.95" customHeight="1" x14ac:dyDescent="0.3">
      <c r="A10" s="15" t="s">
        <v>83</v>
      </c>
      <c r="B10" s="15" t="s">
        <v>82</v>
      </c>
      <c r="C10" s="13" t="s">
        <v>25</v>
      </c>
      <c r="D10" s="6">
        <v>-15</v>
      </c>
      <c r="E10" s="13" t="s">
        <v>26</v>
      </c>
      <c r="F10" s="16">
        <v>892.75</v>
      </c>
      <c r="G10" s="13" t="s">
        <v>26</v>
      </c>
      <c r="H10" s="13" t="s">
        <v>27</v>
      </c>
      <c r="I10" s="13"/>
      <c r="J10" s="13" t="s">
        <v>28</v>
      </c>
      <c r="K10" s="13" t="s">
        <v>28</v>
      </c>
      <c r="L10" s="13"/>
    </row>
    <row r="11" spans="1:12" ht="22.95" customHeight="1" x14ac:dyDescent="0.3">
      <c r="A11" s="15" t="s">
        <v>81</v>
      </c>
      <c r="B11" s="15" t="s">
        <v>81</v>
      </c>
      <c r="C11" s="13" t="s">
        <v>30</v>
      </c>
      <c r="D11" s="6">
        <v>-1092.25</v>
      </c>
      <c r="E11" s="13" t="s">
        <v>26</v>
      </c>
      <c r="F11" s="16">
        <v>907.75</v>
      </c>
      <c r="G11" s="13" t="s">
        <v>26</v>
      </c>
      <c r="H11" s="13" t="s">
        <v>31</v>
      </c>
      <c r="I11" s="13"/>
      <c r="J11" s="13" t="s">
        <v>28</v>
      </c>
      <c r="K11" s="13" t="s">
        <v>28</v>
      </c>
      <c r="L11" s="13"/>
    </row>
    <row r="12" spans="1:12" ht="22.95" customHeight="1" x14ac:dyDescent="0.3">
      <c r="A12" s="15" t="s">
        <v>81</v>
      </c>
      <c r="B12" s="15" t="s">
        <v>81</v>
      </c>
      <c r="C12" s="13" t="s">
        <v>32</v>
      </c>
      <c r="D12" s="6">
        <v>2000</v>
      </c>
      <c r="E12" s="13" t="s">
        <v>26</v>
      </c>
      <c r="F12" s="16">
        <v>2000</v>
      </c>
      <c r="G12" s="13" t="s">
        <v>26</v>
      </c>
      <c r="H12" s="13" t="s">
        <v>33</v>
      </c>
      <c r="I12" s="13"/>
      <c r="J12" s="13" t="s">
        <v>28</v>
      </c>
      <c r="K12" s="13" t="s">
        <v>28</v>
      </c>
      <c r="L12" s="13"/>
    </row>
    <row r="13" spans="1:12" ht="22.95" customHeight="1" x14ac:dyDescent="0.3">
      <c r="A13" s="15" t="s">
        <v>81</v>
      </c>
      <c r="B13" s="15" t="s">
        <v>81</v>
      </c>
      <c r="C13" s="13" t="s">
        <v>30</v>
      </c>
      <c r="D13" s="6">
        <v>-786.49</v>
      </c>
      <c r="E13" s="13" t="s">
        <v>26</v>
      </c>
      <c r="F13" s="16">
        <v>0</v>
      </c>
      <c r="G13" s="13" t="s">
        <v>26</v>
      </c>
      <c r="H13" s="13" t="s">
        <v>31</v>
      </c>
      <c r="I13" s="13"/>
      <c r="J13" s="13" t="s">
        <v>28</v>
      </c>
      <c r="K13" s="13" t="s">
        <v>28</v>
      </c>
      <c r="L13" s="13"/>
    </row>
  </sheetData>
  <mergeCells count="3">
    <mergeCell ref="A1:B5"/>
    <mergeCell ref="A7:C7"/>
    <mergeCell ref="D7:J7"/>
  </mergeCells>
  <conditionalFormatting sqref="D9:D13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80E9-B98D-422B-A930-2284792E029A}">
  <dimension ref="A1:L10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36.10937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89</v>
      </c>
      <c r="D3" s="13" t="s">
        <v>90</v>
      </c>
      <c r="E3" s="13" t="s">
        <v>90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91</v>
      </c>
      <c r="D6" s="13" t="s">
        <v>9</v>
      </c>
      <c r="E6" s="13" t="s">
        <v>90</v>
      </c>
    </row>
    <row r="7" spans="1:12" ht="13.95" customHeight="1" x14ac:dyDescent="0.3">
      <c r="A7" s="18" t="s">
        <v>92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93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94</v>
      </c>
      <c r="B9" s="15" t="s">
        <v>95</v>
      </c>
      <c r="C9" s="13" t="s">
        <v>96</v>
      </c>
      <c r="D9" s="6">
        <v>-15</v>
      </c>
      <c r="E9" s="13" t="s">
        <v>26</v>
      </c>
      <c r="F9" s="16">
        <v>4562.67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  <row r="10" spans="1:12" ht="22.95" customHeight="1" x14ac:dyDescent="0.3">
      <c r="A10" s="15" t="s">
        <v>97</v>
      </c>
      <c r="B10" s="15" t="s">
        <v>97</v>
      </c>
      <c r="C10" s="13" t="s">
        <v>98</v>
      </c>
      <c r="D10" s="6">
        <v>-581.51</v>
      </c>
      <c r="E10" s="13" t="s">
        <v>26</v>
      </c>
      <c r="F10" s="16">
        <v>4577.67</v>
      </c>
      <c r="G10" s="13" t="s">
        <v>26</v>
      </c>
      <c r="H10" s="13" t="s">
        <v>27</v>
      </c>
      <c r="I10" s="13"/>
      <c r="J10" s="13" t="s">
        <v>28</v>
      </c>
      <c r="K10" s="13" t="s">
        <v>28</v>
      </c>
      <c r="L10" s="13"/>
    </row>
  </sheetData>
  <mergeCells count="3">
    <mergeCell ref="A1:B5"/>
    <mergeCell ref="A7:C7"/>
    <mergeCell ref="D7:J7"/>
  </mergeCells>
  <conditionalFormatting sqref="D9:D10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A2E3-1F91-4D4B-B8AD-8C07465F1307}">
  <dimension ref="A1:L12"/>
  <sheetViews>
    <sheetView workbookViewId="0">
      <selection activeCell="C11" sqref="C11"/>
    </sheetView>
  </sheetViews>
  <sheetFormatPr baseColWidth="10" defaultColWidth="8.88671875" defaultRowHeight="14.4" x14ac:dyDescent="0.3"/>
  <cols>
    <col min="1" max="2" width="10.5546875" customWidth="1"/>
    <col min="3" max="3" width="5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99</v>
      </c>
      <c r="E3" s="13" t="s">
        <v>99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99</v>
      </c>
    </row>
    <row r="7" spans="1:12" ht="13.95" customHeight="1" x14ac:dyDescent="0.3">
      <c r="A7" s="18" t="s">
        <v>100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101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102</v>
      </c>
      <c r="B9" s="15" t="s">
        <v>103</v>
      </c>
      <c r="C9" s="13" t="s">
        <v>25</v>
      </c>
      <c r="D9" s="6">
        <v>-15</v>
      </c>
      <c r="E9" s="13" t="s">
        <v>26</v>
      </c>
      <c r="F9" s="16">
        <v>1103.78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  <row r="10" spans="1:12" ht="22.95" customHeight="1" x14ac:dyDescent="0.3">
      <c r="A10" s="15" t="s">
        <v>104</v>
      </c>
      <c r="B10" s="15" t="s">
        <v>104</v>
      </c>
      <c r="C10" s="13" t="s">
        <v>30</v>
      </c>
      <c r="D10" s="6">
        <v>-881.22</v>
      </c>
      <c r="E10" s="13" t="s">
        <v>26</v>
      </c>
      <c r="F10" s="16">
        <v>1118.78</v>
      </c>
      <c r="G10" s="13" t="s">
        <v>26</v>
      </c>
      <c r="H10" s="13" t="s">
        <v>31</v>
      </c>
      <c r="I10" s="13"/>
      <c r="J10" s="13" t="s">
        <v>28</v>
      </c>
      <c r="K10" s="13" t="s">
        <v>28</v>
      </c>
      <c r="L10" s="13"/>
    </row>
    <row r="11" spans="1:12" ht="22.95" customHeight="1" x14ac:dyDescent="0.3">
      <c r="A11" s="15" t="s">
        <v>104</v>
      </c>
      <c r="B11" s="15" t="s">
        <v>104</v>
      </c>
      <c r="C11" s="13" t="s">
        <v>32</v>
      </c>
      <c r="D11" s="6">
        <v>2000</v>
      </c>
      <c r="E11" s="13" t="s">
        <v>26</v>
      </c>
      <c r="F11" s="16">
        <v>2000</v>
      </c>
      <c r="G11" s="13" t="s">
        <v>26</v>
      </c>
      <c r="H11" s="13" t="s">
        <v>33</v>
      </c>
      <c r="I11" s="13"/>
      <c r="J11" s="13" t="s">
        <v>28</v>
      </c>
      <c r="K11" s="13" t="s">
        <v>28</v>
      </c>
      <c r="L11" s="13"/>
    </row>
    <row r="12" spans="1:12" ht="22.95" customHeight="1" x14ac:dyDescent="0.3">
      <c r="A12" s="15" t="s">
        <v>104</v>
      </c>
      <c r="B12" s="15" t="s">
        <v>104</v>
      </c>
      <c r="C12" s="13" t="s">
        <v>30</v>
      </c>
      <c r="D12" s="6">
        <v>-999.01</v>
      </c>
      <c r="E12" s="13" t="s">
        <v>26</v>
      </c>
      <c r="F12" s="16">
        <v>0</v>
      </c>
      <c r="G12" s="13" t="s">
        <v>26</v>
      </c>
      <c r="H12" s="13" t="s">
        <v>31</v>
      </c>
      <c r="I12" s="13"/>
      <c r="J12" s="13" t="s">
        <v>28</v>
      </c>
      <c r="K12" s="13" t="s">
        <v>28</v>
      </c>
      <c r="L12" s="13"/>
    </row>
  </sheetData>
  <mergeCells count="3">
    <mergeCell ref="A1:B5"/>
    <mergeCell ref="A7:C7"/>
    <mergeCell ref="D7:J7"/>
  </mergeCells>
  <conditionalFormatting sqref="D9:D12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43BE-71F4-401A-88FE-AB492DBA5073}">
  <dimension ref="A1:L15"/>
  <sheetViews>
    <sheetView workbookViewId="0">
      <selection activeCell="I11" sqref="I11"/>
    </sheetView>
  </sheetViews>
  <sheetFormatPr baseColWidth="10" defaultColWidth="8.88671875" defaultRowHeight="14.4" x14ac:dyDescent="0.3"/>
  <cols>
    <col min="1" max="2" width="10.5546875" customWidth="1"/>
    <col min="3" max="3" width="59.664062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109375" bestFit="1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9</v>
      </c>
      <c r="E3" s="13" t="s">
        <v>9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118</v>
      </c>
    </row>
    <row r="7" spans="1:12" ht="13.95" customHeight="1" x14ac:dyDescent="0.3">
      <c r="A7" s="18" t="s">
        <v>117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116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115</v>
      </c>
      <c r="B9" s="15" t="s">
        <v>115</v>
      </c>
      <c r="C9" s="13" t="s">
        <v>114</v>
      </c>
      <c r="D9" s="6">
        <v>-300</v>
      </c>
      <c r="E9" s="13" t="s">
        <v>26</v>
      </c>
      <c r="F9" s="16">
        <v>1309.53</v>
      </c>
      <c r="G9" s="13" t="s">
        <v>26</v>
      </c>
      <c r="H9" s="13" t="s">
        <v>105</v>
      </c>
      <c r="I9" s="13"/>
      <c r="J9" s="13" t="s">
        <v>28</v>
      </c>
      <c r="K9" s="13" t="s">
        <v>28</v>
      </c>
      <c r="L9" s="13"/>
    </row>
    <row r="10" spans="1:12" ht="22.95" customHeight="1" x14ac:dyDescent="0.3">
      <c r="A10" s="15" t="s">
        <v>113</v>
      </c>
      <c r="B10" s="15" t="s">
        <v>112</v>
      </c>
      <c r="C10" s="13" t="s">
        <v>25</v>
      </c>
      <c r="D10" s="6">
        <v>-15</v>
      </c>
      <c r="E10" s="13" t="s">
        <v>26</v>
      </c>
      <c r="F10" s="16">
        <v>1609.53</v>
      </c>
      <c r="G10" s="13" t="s">
        <v>26</v>
      </c>
      <c r="H10" s="13" t="s">
        <v>27</v>
      </c>
      <c r="I10" s="13"/>
      <c r="J10" s="13" t="s">
        <v>28</v>
      </c>
      <c r="K10" s="13" t="s">
        <v>28</v>
      </c>
      <c r="L10" s="13"/>
    </row>
    <row r="11" spans="1:12" ht="22.95" customHeight="1" x14ac:dyDescent="0.3">
      <c r="A11" s="15" t="s">
        <v>111</v>
      </c>
      <c r="B11" s="15" t="s">
        <v>111</v>
      </c>
      <c r="C11" s="13" t="s">
        <v>110</v>
      </c>
      <c r="D11" s="6">
        <v>1500</v>
      </c>
      <c r="E11" s="13" t="s">
        <v>26</v>
      </c>
      <c r="F11" s="16">
        <v>1624.53</v>
      </c>
      <c r="G11" s="13" t="s">
        <v>26</v>
      </c>
      <c r="H11" s="13" t="s">
        <v>33</v>
      </c>
      <c r="I11" s="13" t="s">
        <v>28</v>
      </c>
      <c r="J11" s="13" t="s">
        <v>28</v>
      </c>
      <c r="K11" s="13"/>
    </row>
    <row r="12" spans="1:12" ht="22.95" customHeight="1" x14ac:dyDescent="0.3">
      <c r="A12" s="15" t="s">
        <v>109</v>
      </c>
      <c r="B12" s="15" t="s">
        <v>109</v>
      </c>
      <c r="C12" s="13" t="s">
        <v>30</v>
      </c>
      <c r="D12" s="6">
        <v>-1275.47</v>
      </c>
      <c r="E12" s="13" t="s">
        <v>26</v>
      </c>
      <c r="F12" s="16">
        <v>124.53</v>
      </c>
      <c r="G12" s="13" t="s">
        <v>26</v>
      </c>
      <c r="H12" s="13" t="s">
        <v>31</v>
      </c>
      <c r="I12" s="13"/>
      <c r="J12" s="13" t="s">
        <v>28</v>
      </c>
      <c r="K12" s="13" t="s">
        <v>28</v>
      </c>
      <c r="L12" s="13"/>
    </row>
    <row r="13" spans="1:12" ht="22.95" customHeight="1" x14ac:dyDescent="0.3">
      <c r="A13" s="15" t="s">
        <v>108</v>
      </c>
      <c r="B13" s="15" t="s">
        <v>108</v>
      </c>
      <c r="C13" s="13" t="s">
        <v>41</v>
      </c>
      <c r="D13" s="6">
        <v>1400</v>
      </c>
      <c r="E13" s="13" t="s">
        <v>26</v>
      </c>
      <c r="F13" s="16">
        <v>1400</v>
      </c>
      <c r="G13" s="13" t="s">
        <v>26</v>
      </c>
      <c r="H13" s="13" t="s">
        <v>33</v>
      </c>
      <c r="I13" s="13"/>
      <c r="J13" s="13" t="s">
        <v>28</v>
      </c>
      <c r="K13" s="13" t="s">
        <v>28</v>
      </c>
      <c r="L13" s="13"/>
    </row>
    <row r="14" spans="1:12" ht="22.95" customHeight="1" x14ac:dyDescent="0.3">
      <c r="A14" s="15" t="s">
        <v>108</v>
      </c>
      <c r="B14" s="15" t="s">
        <v>108</v>
      </c>
      <c r="C14" s="13" t="s">
        <v>30</v>
      </c>
      <c r="D14" s="6">
        <v>-603.78</v>
      </c>
      <c r="E14" s="13" t="s">
        <v>26</v>
      </c>
      <c r="F14" s="16">
        <v>0</v>
      </c>
      <c r="G14" s="13" t="s">
        <v>26</v>
      </c>
      <c r="H14" s="13" t="s">
        <v>31</v>
      </c>
      <c r="I14" s="13"/>
      <c r="J14" s="13" t="s">
        <v>28</v>
      </c>
      <c r="K14" s="13" t="s">
        <v>28</v>
      </c>
      <c r="L14" s="13"/>
    </row>
    <row r="15" spans="1:12" ht="22.95" customHeight="1" x14ac:dyDescent="0.3">
      <c r="A15" s="15" t="s">
        <v>107</v>
      </c>
      <c r="B15" s="15" t="s">
        <v>107</v>
      </c>
      <c r="C15" s="13" t="s">
        <v>106</v>
      </c>
      <c r="D15" s="6">
        <v>-500</v>
      </c>
      <c r="E15" s="13" t="s">
        <v>26</v>
      </c>
      <c r="F15" s="16">
        <v>603.78</v>
      </c>
      <c r="G15" s="13" t="s">
        <v>26</v>
      </c>
      <c r="H15" s="13" t="s">
        <v>105</v>
      </c>
      <c r="I15" s="13"/>
      <c r="J15" s="13" t="s">
        <v>28</v>
      </c>
      <c r="K15" s="13" t="s">
        <v>28</v>
      </c>
      <c r="L15" s="13"/>
    </row>
  </sheetData>
  <mergeCells count="3">
    <mergeCell ref="A1:B5"/>
    <mergeCell ref="A7:C7"/>
    <mergeCell ref="D7:J7"/>
  </mergeCells>
  <conditionalFormatting sqref="D9:D15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A958-826A-4363-91E9-E5128015A6D8}">
  <dimension ref="A1:L12"/>
  <sheetViews>
    <sheetView workbookViewId="0">
      <selection activeCell="D1" sqref="D1"/>
    </sheetView>
  </sheetViews>
  <sheetFormatPr baseColWidth="10" defaultColWidth="8.88671875" defaultRowHeight="14.4" x14ac:dyDescent="0.3"/>
  <cols>
    <col min="1" max="2" width="10.5546875" customWidth="1"/>
    <col min="3" max="3" width="55.554687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126</v>
      </c>
      <c r="E3" s="13" t="s">
        <v>126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126</v>
      </c>
    </row>
    <row r="7" spans="1:12" ht="13.95" customHeight="1" x14ac:dyDescent="0.3">
      <c r="A7" s="18" t="s">
        <v>125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124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123</v>
      </c>
      <c r="B9" s="15" t="s">
        <v>122</v>
      </c>
      <c r="C9" s="13" t="s">
        <v>25</v>
      </c>
      <c r="D9" s="6">
        <v>-15</v>
      </c>
      <c r="E9" s="13" t="s">
        <v>26</v>
      </c>
      <c r="F9" s="16">
        <v>415.56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  <row r="10" spans="1:12" ht="22.95" customHeight="1" x14ac:dyDescent="0.3">
      <c r="A10" s="15" t="s">
        <v>121</v>
      </c>
      <c r="B10" s="15" t="s">
        <v>121</v>
      </c>
      <c r="C10" s="13" t="s">
        <v>30</v>
      </c>
      <c r="D10" s="6">
        <v>-569.44000000000005</v>
      </c>
      <c r="E10" s="13" t="s">
        <v>26</v>
      </c>
      <c r="F10" s="16">
        <v>430.56</v>
      </c>
      <c r="G10" s="13" t="s">
        <v>26</v>
      </c>
      <c r="H10" s="13" t="s">
        <v>31</v>
      </c>
      <c r="I10" s="13"/>
      <c r="J10" s="13" t="s">
        <v>28</v>
      </c>
      <c r="K10" s="13" t="s">
        <v>28</v>
      </c>
      <c r="L10" s="13"/>
    </row>
    <row r="11" spans="1:12" ht="22.95" customHeight="1" x14ac:dyDescent="0.3">
      <c r="A11" s="15" t="s">
        <v>119</v>
      </c>
      <c r="B11" s="15" t="s">
        <v>119</v>
      </c>
      <c r="C11" s="13" t="s">
        <v>120</v>
      </c>
      <c r="D11" s="6">
        <v>1000</v>
      </c>
      <c r="E11" s="13" t="s">
        <v>26</v>
      </c>
      <c r="F11" s="16">
        <v>1000</v>
      </c>
      <c r="G11" s="13" t="s">
        <v>26</v>
      </c>
      <c r="H11" s="13" t="s">
        <v>33</v>
      </c>
      <c r="I11" s="13"/>
      <c r="J11" s="13" t="s">
        <v>28</v>
      </c>
      <c r="K11" s="13" t="s">
        <v>28</v>
      </c>
      <c r="L11" s="13"/>
    </row>
    <row r="12" spans="1:12" ht="22.95" customHeight="1" x14ac:dyDescent="0.3">
      <c r="A12" s="15" t="s">
        <v>119</v>
      </c>
      <c r="B12" s="15" t="s">
        <v>119</v>
      </c>
      <c r="C12" s="13" t="s">
        <v>30</v>
      </c>
      <c r="D12" s="6">
        <v>-1309.53</v>
      </c>
      <c r="E12" s="13" t="s">
        <v>26</v>
      </c>
      <c r="F12" s="16">
        <v>0</v>
      </c>
      <c r="G12" s="13" t="s">
        <v>26</v>
      </c>
      <c r="H12" s="13" t="s">
        <v>31</v>
      </c>
      <c r="I12" s="13"/>
      <c r="J12" s="13" t="s">
        <v>28</v>
      </c>
      <c r="K12" s="13" t="s">
        <v>28</v>
      </c>
      <c r="L12" s="13"/>
    </row>
  </sheetData>
  <mergeCells count="3">
    <mergeCell ref="A1:B5"/>
    <mergeCell ref="A7:C7"/>
    <mergeCell ref="D7:J7"/>
  </mergeCells>
  <conditionalFormatting sqref="D9:D1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ENERO-FEBRERO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Bianca Podariu</cp:lastModifiedBy>
  <dcterms:created xsi:type="dcterms:W3CDTF">2025-03-12T10:32:21Z</dcterms:created>
  <dcterms:modified xsi:type="dcterms:W3CDTF">2026-02-25T08:53:04Z</dcterms:modified>
</cp:coreProperties>
</file>